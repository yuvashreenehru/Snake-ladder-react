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3上期\サードウェーブ・リアルエステート\保有不動産物件管理\"/>
    </mc:Choice>
  </mc:AlternateContent>
  <xr:revisionPtr revIDLastSave="3" documentId="13_ncr:1_{C0DB4D27-D569-48D9-9163-B3A96EA7EB3E}" xr6:coauthVersionLast="47" xr6:coauthVersionMax="47" xr10:uidLastSave="{CE7E6A54-538A-4CF5-B3FB-A47715750131}"/>
  <bookViews>
    <workbookView xWindow="28680" yWindow="-120" windowWidth="29040" windowHeight="15720" tabRatio="885" firstSheet="9" activeTab="4" xr2:uid="{C52C354F-2DB3-4541-B56E-105639D80603}"/>
  </bookViews>
  <sheets>
    <sheet name="NY不動産(総計)" sheetId="16" r:id="rId1"/>
    <sheet name="1Wall#831" sheetId="15" r:id="rId2"/>
    <sheet name="111W56th#34D" sheetId="14" r:id="rId3"/>
    <sheet name="88Gr#1512" sheetId="13" r:id="rId4"/>
    <sheet name="88Gr#3101" sheetId="12" r:id="rId5"/>
    <sheet name="93Worth#206" sheetId="11" r:id="rId6"/>
    <sheet name="159W53rd#21F" sheetId="10" r:id="rId7"/>
    <sheet name="159W53rd#35A" sheetId="9" r:id="rId8"/>
    <sheet name="1Wall#1810" sheetId="8" r:id="rId9"/>
    <sheet name="20W#40B" sheetId="1" r:id="rId10"/>
    <sheet name="301W53rd#6H" sheetId="7" r:id="rId11"/>
    <sheet name="20W64th#34C" sheetId="20" r:id="rId12"/>
    <sheet name="235W75th#225" sheetId="25" r:id="rId13"/>
    <sheet name="1Wall#731(GRE)" sheetId="22" r:id="rId14"/>
    <sheet name="Nine52#400(GRE)" sheetId="21" r:id="rId15"/>
    <sheet name="20W64th#30C(GRE)" sheetId="23" r:id="rId16"/>
    <sheet name="1001Lorimer" sheetId="17" r:id="rId17"/>
    <sheet name="248-250W102nd" sheetId="18" r:id="rId18"/>
    <sheet name="Sheet1" sheetId="19" r:id="rId19"/>
    <sheet name="Sheet1 (2)" sheetId="2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21" l="1"/>
  <c r="X57" i="25"/>
  <c r="B12" i="16" l="1"/>
  <c r="V9" i="23" l="1"/>
  <c r="W9" i="23" s="1"/>
  <c r="X9" i="23" s="1"/>
  <c r="Y9" i="23" s="1"/>
  <c r="Z9" i="23" s="1"/>
  <c r="AA9" i="23" s="1"/>
  <c r="AB9" i="23" s="1"/>
  <c r="AC9" i="23" s="1"/>
  <c r="AD9" i="23" s="1"/>
  <c r="AE9" i="23" s="1"/>
  <c r="AF9" i="23" s="1"/>
  <c r="U9" i="23"/>
  <c r="B28" i="25"/>
  <c r="B27" i="25" s="1"/>
  <c r="B40" i="25" s="1"/>
  <c r="R63" i="25"/>
  <c r="V60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F45" i="25"/>
  <c r="E45" i="25"/>
  <c r="D45" i="25"/>
  <c r="C45" i="25"/>
  <c r="C44" i="25" s="1"/>
  <c r="M44" i="25"/>
  <c r="L44" i="25"/>
  <c r="B42" i="25"/>
  <c r="I34" i="25"/>
  <c r="J34" i="25" s="1"/>
  <c r="K34" i="25" s="1"/>
  <c r="L34" i="25" s="1"/>
  <c r="M34" i="25" s="1"/>
  <c r="N34" i="25" s="1"/>
  <c r="O34" i="25" s="1"/>
  <c r="P34" i="25" s="1"/>
  <c r="Q34" i="25" s="1"/>
  <c r="R34" i="25" s="1"/>
  <c r="S34" i="25" s="1"/>
  <c r="U34" i="25" s="1"/>
  <c r="V34" i="25" s="1"/>
  <c r="W34" i="25" s="1"/>
  <c r="X34" i="25" s="1"/>
  <c r="Y34" i="25" s="1"/>
  <c r="Z34" i="25" s="1"/>
  <c r="AA34" i="25" s="1"/>
  <c r="AB34" i="25" s="1"/>
  <c r="AC34" i="25" s="1"/>
  <c r="AD34" i="25" s="1"/>
  <c r="AE34" i="25" s="1"/>
  <c r="AF34" i="25" s="1"/>
  <c r="AF30" i="25"/>
  <c r="AF44" i="25" s="1"/>
  <c r="AE30" i="25"/>
  <c r="AE44" i="25" s="1"/>
  <c r="AD30" i="25"/>
  <c r="AD29" i="25" s="1"/>
  <c r="AC30" i="25"/>
  <c r="AC29" i="25" s="1"/>
  <c r="AB30" i="25"/>
  <c r="AB29" i="25" s="1"/>
  <c r="AA30" i="25"/>
  <c r="Z30" i="25"/>
  <c r="Y30" i="25"/>
  <c r="Y29" i="25" s="1"/>
  <c r="X30" i="25"/>
  <c r="X29" i="25" s="1"/>
  <c r="W30" i="25"/>
  <c r="W29" i="25" s="1"/>
  <c r="V30" i="25"/>
  <c r="V29" i="25" s="1"/>
  <c r="U30" i="25"/>
  <c r="S30" i="25"/>
  <c r="S29" i="25" s="1"/>
  <c r="R30" i="25"/>
  <c r="Q30" i="25"/>
  <c r="Q44" i="25" s="1"/>
  <c r="P30" i="25"/>
  <c r="O30" i="25"/>
  <c r="O44" i="25" s="1"/>
  <c r="N30" i="25"/>
  <c r="N29" i="25" s="1"/>
  <c r="M30" i="25"/>
  <c r="L30" i="25"/>
  <c r="K30" i="25"/>
  <c r="K29" i="25" s="1"/>
  <c r="J30" i="25"/>
  <c r="J44" i="25" s="1"/>
  <c r="I30" i="25"/>
  <c r="I44" i="25" s="1"/>
  <c r="H30" i="25"/>
  <c r="H29" i="25" s="1"/>
  <c r="F30" i="25"/>
  <c r="F44" i="25" s="1"/>
  <c r="E30" i="25"/>
  <c r="E44" i="25" s="1"/>
  <c r="D30" i="25"/>
  <c r="D44" i="25" s="1"/>
  <c r="C30" i="25"/>
  <c r="C29" i="25" s="1"/>
  <c r="B30" i="25"/>
  <c r="B29" i="25" s="1"/>
  <c r="AF29" i="25"/>
  <c r="U29" i="25"/>
  <c r="M29" i="25"/>
  <c r="L29" i="25"/>
  <c r="E29" i="25"/>
  <c r="D29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F20" i="25"/>
  <c r="E20" i="25"/>
  <c r="D20" i="25"/>
  <c r="C20" i="25"/>
  <c r="J19" i="25"/>
  <c r="B17" i="25"/>
  <c r="AG11" i="25"/>
  <c r="AG15" i="25" s="1"/>
  <c r="S9" i="25"/>
  <c r="U9" i="25" s="1"/>
  <c r="W9" i="25" s="1"/>
  <c r="X9" i="25" s="1"/>
  <c r="Y9" i="25" s="1"/>
  <c r="Z9" i="25" s="1"/>
  <c r="AA9" i="25" s="1"/>
  <c r="AB9" i="25" s="1"/>
  <c r="AC9" i="25" s="1"/>
  <c r="AD9" i="25" s="1"/>
  <c r="AE9" i="25" s="1"/>
  <c r="AF9" i="25" s="1"/>
  <c r="AF5" i="25"/>
  <c r="AF4" i="25" s="1"/>
  <c r="AE5" i="25"/>
  <c r="AE19" i="25" s="1"/>
  <c r="AD5" i="25"/>
  <c r="AD19" i="25" s="1"/>
  <c r="AC5" i="25"/>
  <c r="AC4" i="25" s="1"/>
  <c r="AB5" i="25"/>
  <c r="AA5" i="25"/>
  <c r="AA4" i="25" s="1"/>
  <c r="Z5" i="25"/>
  <c r="Y5" i="25"/>
  <c r="Y4" i="25" s="1"/>
  <c r="X5" i="25"/>
  <c r="X4" i="25" s="1"/>
  <c r="W5" i="25"/>
  <c r="V5" i="25"/>
  <c r="V4" i="25" s="1"/>
  <c r="U5" i="25"/>
  <c r="U4" i="25" s="1"/>
  <c r="S5" i="25"/>
  <c r="S4" i="25" s="1"/>
  <c r="R5" i="25"/>
  <c r="R19" i="25" s="1"/>
  <c r="Q5" i="25"/>
  <c r="Q19" i="25" s="1"/>
  <c r="P5" i="25"/>
  <c r="P4" i="25" s="1"/>
  <c r="O5" i="25"/>
  <c r="O4" i="25" s="1"/>
  <c r="N5" i="25"/>
  <c r="N19" i="25" s="1"/>
  <c r="M5" i="25"/>
  <c r="L5" i="25"/>
  <c r="L4" i="25" s="1"/>
  <c r="K5" i="25"/>
  <c r="K19" i="25" s="1"/>
  <c r="J5" i="25"/>
  <c r="I5" i="25"/>
  <c r="I19" i="25" s="1"/>
  <c r="H5" i="25"/>
  <c r="H4" i="25" s="1"/>
  <c r="F5" i="25"/>
  <c r="F4" i="25" s="1"/>
  <c r="E5" i="25"/>
  <c r="E19" i="25" s="1"/>
  <c r="D5" i="25"/>
  <c r="D19" i="25" s="1"/>
  <c r="C5" i="25"/>
  <c r="C4" i="25" s="1"/>
  <c r="B5" i="25"/>
  <c r="B4" i="25" s="1"/>
  <c r="AB4" i="25"/>
  <c r="K4" i="25"/>
  <c r="J4" i="25"/>
  <c r="I4" i="25"/>
  <c r="B2" i="25"/>
  <c r="B15" i="25" s="1"/>
  <c r="V60" i="20"/>
  <c r="AB19" i="25" l="1"/>
  <c r="F19" i="25"/>
  <c r="U44" i="25"/>
  <c r="R4" i="25"/>
  <c r="H19" i="25"/>
  <c r="V44" i="25"/>
  <c r="AA44" i="25"/>
  <c r="Q4" i="25"/>
  <c r="M19" i="25"/>
  <c r="AE29" i="25"/>
  <c r="K44" i="25"/>
  <c r="P19" i="25"/>
  <c r="F29" i="25"/>
  <c r="P44" i="25"/>
  <c r="N44" i="25"/>
  <c r="S44" i="25"/>
  <c r="R44" i="25"/>
  <c r="AB44" i="25"/>
  <c r="O19" i="25"/>
  <c r="AA19" i="25"/>
  <c r="AF19" i="25"/>
  <c r="O29" i="25"/>
  <c r="AD44" i="25"/>
  <c r="Z19" i="25"/>
  <c r="Z4" i="25"/>
  <c r="AC44" i="25"/>
  <c r="Y19" i="25"/>
  <c r="X19" i="25"/>
  <c r="W19" i="25"/>
  <c r="X44" i="25"/>
  <c r="Z44" i="25"/>
  <c r="W44" i="25"/>
  <c r="S19" i="25"/>
  <c r="I29" i="25"/>
  <c r="Q29" i="25"/>
  <c r="Z29" i="25"/>
  <c r="P29" i="25"/>
  <c r="M4" i="25"/>
  <c r="E4" i="25"/>
  <c r="N4" i="25"/>
  <c r="W4" i="25"/>
  <c r="AE4" i="25"/>
  <c r="C19" i="25"/>
  <c r="L19" i="25"/>
  <c r="U19" i="25"/>
  <c r="AC19" i="25"/>
  <c r="J29" i="25"/>
  <c r="R29" i="25"/>
  <c r="AA29" i="25"/>
  <c r="H44" i="25"/>
  <c r="Y44" i="25"/>
  <c r="D4" i="25"/>
  <c r="AD4" i="25"/>
  <c r="V19" i="25"/>
  <c r="D2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U34" i="21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F45" i="23"/>
  <c r="E45" i="23"/>
  <c r="D45" i="23"/>
  <c r="C45" i="23"/>
  <c r="B42" i="23"/>
  <c r="I34" i="23"/>
  <c r="J34" i="23" s="1"/>
  <c r="K34" i="23" s="1"/>
  <c r="L34" i="23" s="1"/>
  <c r="M34" i="23" s="1"/>
  <c r="N34" i="23" s="1"/>
  <c r="O34" i="23" s="1"/>
  <c r="P34" i="23" s="1"/>
  <c r="Q34" i="23" s="1"/>
  <c r="R34" i="23" s="1"/>
  <c r="U34" i="23" s="1"/>
  <c r="V34" i="23" s="1"/>
  <c r="W34" i="23" s="1"/>
  <c r="X34" i="23" s="1"/>
  <c r="Y34" i="23" s="1"/>
  <c r="Z34" i="23" s="1"/>
  <c r="AA34" i="23" s="1"/>
  <c r="AB34" i="23" s="1"/>
  <c r="AC34" i="23" s="1"/>
  <c r="AD34" i="23" s="1"/>
  <c r="AE34" i="23" s="1"/>
  <c r="AF34" i="23" s="1"/>
  <c r="AF30" i="23"/>
  <c r="AE30" i="23"/>
  <c r="AE44" i="23" s="1"/>
  <c r="AD30" i="23"/>
  <c r="AC30" i="23"/>
  <c r="AB30" i="23"/>
  <c r="AB44" i="23" s="1"/>
  <c r="AA30" i="23"/>
  <c r="Z30" i="23"/>
  <c r="Y30" i="23"/>
  <c r="X30" i="23"/>
  <c r="W30" i="23"/>
  <c r="W29" i="23" s="1"/>
  <c r="V30" i="23"/>
  <c r="U30" i="23"/>
  <c r="U29" i="23" s="1"/>
  <c r="S30" i="23"/>
  <c r="R30" i="23"/>
  <c r="R44" i="23" s="1"/>
  <c r="Q30" i="23"/>
  <c r="P30" i="23"/>
  <c r="O30" i="23"/>
  <c r="O44" i="23" s="1"/>
  <c r="N30" i="23"/>
  <c r="N44" i="23" s="1"/>
  <c r="M30" i="23"/>
  <c r="M44" i="23" s="1"/>
  <c r="L30" i="23"/>
  <c r="K30" i="23"/>
  <c r="K44" i="23" s="1"/>
  <c r="J30" i="23"/>
  <c r="J44" i="23" s="1"/>
  <c r="I30" i="23"/>
  <c r="H30" i="23"/>
  <c r="F30" i="23"/>
  <c r="E30" i="23"/>
  <c r="E44" i="23" s="1"/>
  <c r="D30" i="23"/>
  <c r="C30" i="23"/>
  <c r="B30" i="23"/>
  <c r="B29" i="23" s="1"/>
  <c r="AF29" i="23"/>
  <c r="AE29" i="23"/>
  <c r="AD29" i="23"/>
  <c r="X29" i="23"/>
  <c r="V29" i="23"/>
  <c r="L29" i="23"/>
  <c r="F29" i="23"/>
  <c r="D29" i="23"/>
  <c r="B27" i="23"/>
  <c r="B40" i="23" s="1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S20" i="23"/>
  <c r="R20" i="23"/>
  <c r="Q20" i="23"/>
  <c r="Q19" i="23" s="1"/>
  <c r="P20" i="23"/>
  <c r="O20" i="23"/>
  <c r="N20" i="23"/>
  <c r="M20" i="23"/>
  <c r="L20" i="23"/>
  <c r="K20" i="23"/>
  <c r="J20" i="23"/>
  <c r="J19" i="23" s="1"/>
  <c r="I20" i="23"/>
  <c r="H20" i="23"/>
  <c r="F20" i="23"/>
  <c r="E20" i="23"/>
  <c r="D20" i="23"/>
  <c r="C20" i="23"/>
  <c r="B17" i="23"/>
  <c r="AF5" i="23"/>
  <c r="AE5" i="23"/>
  <c r="AD5" i="23"/>
  <c r="AC5" i="23"/>
  <c r="AB5" i="23"/>
  <c r="AA5" i="23"/>
  <c r="Z5" i="23"/>
  <c r="Z19" i="23" s="1"/>
  <c r="Y5" i="23"/>
  <c r="X5" i="23"/>
  <c r="W5" i="23"/>
  <c r="V5" i="23"/>
  <c r="U5" i="23"/>
  <c r="S5" i="23"/>
  <c r="S4" i="23" s="1"/>
  <c r="R5" i="23"/>
  <c r="R19" i="23" s="1"/>
  <c r="Q5" i="23"/>
  <c r="Q4" i="23" s="1"/>
  <c r="P5" i="23"/>
  <c r="P19" i="23" s="1"/>
  <c r="O5" i="23"/>
  <c r="N5" i="23"/>
  <c r="N4" i="23" s="1"/>
  <c r="M5" i="23"/>
  <c r="M19" i="23" s="1"/>
  <c r="L5" i="23"/>
  <c r="K5" i="23"/>
  <c r="J5" i="23"/>
  <c r="I5" i="23"/>
  <c r="H5" i="23"/>
  <c r="F5" i="23"/>
  <c r="E5" i="23"/>
  <c r="D5" i="23"/>
  <c r="C5" i="23"/>
  <c r="B5" i="23"/>
  <c r="B4" i="23" s="1"/>
  <c r="AF4" i="23"/>
  <c r="AE4" i="23"/>
  <c r="X4" i="23"/>
  <c r="W4" i="23"/>
  <c r="J4" i="23"/>
  <c r="F4" i="23"/>
  <c r="E4" i="23"/>
  <c r="B2" i="23"/>
  <c r="B15" i="23" s="1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F45" i="22"/>
  <c r="E45" i="22"/>
  <c r="D45" i="22"/>
  <c r="C45" i="22"/>
  <c r="P44" i="22"/>
  <c r="B42" i="22"/>
  <c r="I34" i="22"/>
  <c r="J34" i="22" s="1"/>
  <c r="K34" i="22" s="1"/>
  <c r="L34" i="22" s="1"/>
  <c r="M34" i="22" s="1"/>
  <c r="N34" i="22" s="1"/>
  <c r="O34" i="22" s="1"/>
  <c r="P34" i="22" s="1"/>
  <c r="Q34" i="22" s="1"/>
  <c r="R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4" i="22" s="1"/>
  <c r="AF34" i="22" s="1"/>
  <c r="AF30" i="22"/>
  <c r="AF44" i="22" s="1"/>
  <c r="AE30" i="22"/>
  <c r="AE29" i="22" s="1"/>
  <c r="AD30" i="22"/>
  <c r="AD29" i="22" s="1"/>
  <c r="AC30" i="22"/>
  <c r="AC29" i="22" s="1"/>
  <c r="AB30" i="22"/>
  <c r="AA30" i="22"/>
  <c r="AA29" i="22" s="1"/>
  <c r="Z30" i="22"/>
  <c r="Y30" i="22"/>
  <c r="X30" i="22"/>
  <c r="W30" i="22"/>
  <c r="W29" i="22" s="1"/>
  <c r="V30" i="22"/>
  <c r="V29" i="22" s="1"/>
  <c r="U30" i="22"/>
  <c r="U29" i="22" s="1"/>
  <c r="S30" i="22"/>
  <c r="R30" i="22"/>
  <c r="R44" i="22" s="1"/>
  <c r="Q30" i="22"/>
  <c r="Q44" i="22" s="1"/>
  <c r="P30" i="22"/>
  <c r="O30" i="22"/>
  <c r="O44" i="22" s="1"/>
  <c r="N30" i="22"/>
  <c r="M30" i="22"/>
  <c r="M29" i="22" s="1"/>
  <c r="L30" i="22"/>
  <c r="K30" i="22"/>
  <c r="J30" i="22"/>
  <c r="J29" i="22" s="1"/>
  <c r="I30" i="22"/>
  <c r="I44" i="22" s="1"/>
  <c r="H30" i="22"/>
  <c r="H29" i="22" s="1"/>
  <c r="F30" i="22"/>
  <c r="F44" i="22" s="1"/>
  <c r="E30" i="22"/>
  <c r="E29" i="22" s="1"/>
  <c r="D30" i="22"/>
  <c r="D29" i="22" s="1"/>
  <c r="C30" i="22"/>
  <c r="B30" i="22"/>
  <c r="B29" i="22" s="1"/>
  <c r="Y29" i="22"/>
  <c r="R29" i="22"/>
  <c r="P29" i="22"/>
  <c r="N29" i="22"/>
  <c r="L29" i="22"/>
  <c r="C29" i="22"/>
  <c r="B27" i="22"/>
  <c r="B40" i="22" s="1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F20" i="22"/>
  <c r="E20" i="22"/>
  <c r="D20" i="22"/>
  <c r="C20" i="22"/>
  <c r="AE19" i="22"/>
  <c r="E19" i="22"/>
  <c r="B17" i="22"/>
  <c r="U9" i="22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F5" i="22"/>
  <c r="AF19" i="22" s="1"/>
  <c r="AE5" i="22"/>
  <c r="AD5" i="22"/>
  <c r="AD19" i="22" s="1"/>
  <c r="AC5" i="22"/>
  <c r="AC4" i="22" s="1"/>
  <c r="AB5" i="22"/>
  <c r="AA5" i="22"/>
  <c r="Z5" i="22"/>
  <c r="Y5" i="22"/>
  <c r="X5" i="22"/>
  <c r="W5" i="22"/>
  <c r="W4" i="22" s="1"/>
  <c r="V5" i="22"/>
  <c r="U5" i="22"/>
  <c r="U4" i="22" s="1"/>
  <c r="S5" i="22"/>
  <c r="S19" i="22" s="1"/>
  <c r="R5" i="22"/>
  <c r="R19" i="22" s="1"/>
  <c r="Q5" i="22"/>
  <c r="Q19" i="22" s="1"/>
  <c r="P5" i="22"/>
  <c r="P4" i="22" s="1"/>
  <c r="O5" i="22"/>
  <c r="O19" i="22" s="1"/>
  <c r="N5" i="22"/>
  <c r="N19" i="22" s="1"/>
  <c r="M5" i="22"/>
  <c r="M19" i="22" s="1"/>
  <c r="L5" i="22"/>
  <c r="L19" i="22" s="1"/>
  <c r="K5" i="22"/>
  <c r="K19" i="22" s="1"/>
  <c r="J5" i="22"/>
  <c r="J19" i="22" s="1"/>
  <c r="I5" i="22"/>
  <c r="I19" i="22" s="1"/>
  <c r="H5" i="22"/>
  <c r="F5" i="22"/>
  <c r="E5" i="22"/>
  <c r="D5" i="22"/>
  <c r="D19" i="22" s="1"/>
  <c r="C5" i="22"/>
  <c r="C19" i="22" s="1"/>
  <c r="B5" i="22"/>
  <c r="B4" i="22" s="1"/>
  <c r="AE4" i="22"/>
  <c r="Y4" i="22"/>
  <c r="J4" i="22"/>
  <c r="H4" i="22"/>
  <c r="E4" i="22"/>
  <c r="C4" i="22"/>
  <c r="B2" i="22"/>
  <c r="B15" i="22" s="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F45" i="21"/>
  <c r="E45" i="21"/>
  <c r="D45" i="21"/>
  <c r="C45" i="21"/>
  <c r="B42" i="21"/>
  <c r="I34" i="21"/>
  <c r="J34" i="21" s="1"/>
  <c r="K34" i="21" s="1"/>
  <c r="L34" i="21" s="1"/>
  <c r="M34" i="21" s="1"/>
  <c r="N34" i="21" s="1"/>
  <c r="O34" i="21" s="1"/>
  <c r="P34" i="21" s="1"/>
  <c r="Q34" i="21" s="1"/>
  <c r="R34" i="21" s="1"/>
  <c r="AF30" i="21"/>
  <c r="AE30" i="21"/>
  <c r="AE29" i="21" s="1"/>
  <c r="AD30" i="21"/>
  <c r="AD44" i="21" s="1"/>
  <c r="AC30" i="21"/>
  <c r="AC44" i="21" s="1"/>
  <c r="AB30" i="21"/>
  <c r="AB44" i="21" s="1"/>
  <c r="AA30" i="21"/>
  <c r="Z30" i="21"/>
  <c r="Z29" i="21" s="1"/>
  <c r="Y30" i="21"/>
  <c r="X30" i="21"/>
  <c r="W29" i="21"/>
  <c r="V30" i="21"/>
  <c r="V29" i="21" s="1"/>
  <c r="U30" i="21"/>
  <c r="S30" i="21"/>
  <c r="S29" i="21" s="1"/>
  <c r="R30" i="21"/>
  <c r="Q30" i="21"/>
  <c r="Q44" i="21" s="1"/>
  <c r="P30" i="21"/>
  <c r="P44" i="21" s="1"/>
  <c r="O30" i="21"/>
  <c r="O44" i="21" s="1"/>
  <c r="N30" i="21"/>
  <c r="N29" i="21" s="1"/>
  <c r="M30" i="21"/>
  <c r="M44" i="21" s="1"/>
  <c r="L30" i="21"/>
  <c r="L44" i="21" s="1"/>
  <c r="K30" i="21"/>
  <c r="J30" i="21"/>
  <c r="I30" i="21"/>
  <c r="H30" i="21"/>
  <c r="H44" i="21" s="1"/>
  <c r="F30" i="21"/>
  <c r="E30" i="21"/>
  <c r="E29" i="21" s="1"/>
  <c r="D30" i="21"/>
  <c r="D44" i="21" s="1"/>
  <c r="C30" i="21"/>
  <c r="C44" i="21" s="1"/>
  <c r="B30" i="21"/>
  <c r="B29" i="21" s="1"/>
  <c r="AF29" i="21"/>
  <c r="K29" i="21"/>
  <c r="I29" i="21"/>
  <c r="F29" i="21"/>
  <c r="B27" i="21"/>
  <c r="B40" i="21" s="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S20" i="21"/>
  <c r="R20" i="21"/>
  <c r="Q20" i="21"/>
  <c r="P20" i="21"/>
  <c r="O20" i="21"/>
  <c r="N20" i="21"/>
  <c r="M20" i="21"/>
  <c r="M19" i="21" s="1"/>
  <c r="L20" i="21"/>
  <c r="K20" i="21"/>
  <c r="K19" i="21" s="1"/>
  <c r="J20" i="21"/>
  <c r="I20" i="21"/>
  <c r="H20" i="21"/>
  <c r="F20" i="21"/>
  <c r="E20" i="21"/>
  <c r="D20" i="21"/>
  <c r="D19" i="21" s="1"/>
  <c r="C20" i="21"/>
  <c r="AD19" i="21"/>
  <c r="Q19" i="21"/>
  <c r="I19" i="21"/>
  <c r="B17" i="21"/>
  <c r="U9" i="21"/>
  <c r="V9" i="21" s="1"/>
  <c r="W9" i="21" s="1"/>
  <c r="X9" i="21" s="1"/>
  <c r="Y9" i="21" s="1"/>
  <c r="Z9" i="21" s="1"/>
  <c r="AA9" i="21" s="1"/>
  <c r="AB9" i="21" s="1"/>
  <c r="AC9" i="21" s="1"/>
  <c r="AD9" i="21" s="1"/>
  <c r="AE9" i="21" s="1"/>
  <c r="AF9" i="21" s="1"/>
  <c r="AF5" i="21"/>
  <c r="AF19" i="21" s="1"/>
  <c r="AE5" i="21"/>
  <c r="AD5" i="21"/>
  <c r="AC5" i="21"/>
  <c r="AC4" i="21" s="1"/>
  <c r="AB5" i="21"/>
  <c r="AA5" i="21"/>
  <c r="AA4" i="21" s="1"/>
  <c r="Z5" i="21"/>
  <c r="Y5" i="21"/>
  <c r="X5" i="21"/>
  <c r="W5" i="21"/>
  <c r="V5" i="21"/>
  <c r="U5" i="21"/>
  <c r="S5" i="21"/>
  <c r="S4" i="21" s="1"/>
  <c r="R5" i="21"/>
  <c r="R4" i="21" s="1"/>
  <c r="Q5" i="21"/>
  <c r="P5" i="21"/>
  <c r="O5" i="21"/>
  <c r="O19" i="21" s="1"/>
  <c r="N5" i="21"/>
  <c r="M5" i="21"/>
  <c r="M4" i="21" s="1"/>
  <c r="L5" i="21"/>
  <c r="K5" i="21"/>
  <c r="J5" i="21"/>
  <c r="J4" i="21" s="1"/>
  <c r="I5" i="21"/>
  <c r="I4" i="21" s="1"/>
  <c r="H5" i="21"/>
  <c r="F5" i="21"/>
  <c r="F19" i="21" s="1"/>
  <c r="E5" i="21"/>
  <c r="D5" i="21"/>
  <c r="C5" i="21"/>
  <c r="B5" i="21"/>
  <c r="AD4" i="21"/>
  <c r="U4" i="21"/>
  <c r="Q4" i="21"/>
  <c r="K4" i="21"/>
  <c r="D4" i="21"/>
  <c r="C4" i="21"/>
  <c r="B4" i="21"/>
  <c r="B2" i="21"/>
  <c r="B15" i="21" s="1"/>
  <c r="AG11" i="18"/>
  <c r="AG15" i="18" s="1"/>
  <c r="AG11" i="17"/>
  <c r="AG15" i="17" s="1"/>
  <c r="AG11" i="20"/>
  <c r="AG15" i="20" s="1"/>
  <c r="AC19" i="22" l="1"/>
  <c r="AB19" i="23"/>
  <c r="AB44" i="22"/>
  <c r="AB19" i="22"/>
  <c r="AB19" i="21"/>
  <c r="AB4" i="21"/>
  <c r="AA44" i="23"/>
  <c r="AA19" i="22"/>
  <c r="AA19" i="23"/>
  <c r="U44" i="22"/>
  <c r="P19" i="22"/>
  <c r="D19" i="23"/>
  <c r="M29" i="21"/>
  <c r="K44" i="22"/>
  <c r="C44" i="23"/>
  <c r="P44" i="23"/>
  <c r="AC44" i="23"/>
  <c r="N19" i="21"/>
  <c r="O29" i="21"/>
  <c r="F44" i="21"/>
  <c r="AF44" i="21"/>
  <c r="L4" i="22"/>
  <c r="J44" i="22"/>
  <c r="L44" i="22"/>
  <c r="Y44" i="22"/>
  <c r="M29" i="23"/>
  <c r="D44" i="23"/>
  <c r="Q44" i="23"/>
  <c r="AD44" i="23"/>
  <c r="R44" i="21"/>
  <c r="Q29" i="21"/>
  <c r="N29" i="23"/>
  <c r="H44" i="22"/>
  <c r="J44" i="21"/>
  <c r="L19" i="21"/>
  <c r="W44" i="22"/>
  <c r="AD19" i="23"/>
  <c r="N4" i="22"/>
  <c r="F19" i="22"/>
  <c r="H19" i="23"/>
  <c r="C19" i="21"/>
  <c r="P19" i="21"/>
  <c r="AC19" i="21"/>
  <c r="I44" i="21"/>
  <c r="H19" i="22"/>
  <c r="U19" i="22"/>
  <c r="N44" i="22"/>
  <c r="R4" i="23"/>
  <c r="I19" i="23"/>
  <c r="O29" i="23"/>
  <c r="F44" i="23"/>
  <c r="AF44" i="23"/>
  <c r="R4" i="22"/>
  <c r="AA44" i="22"/>
  <c r="P29" i="23"/>
  <c r="H44" i="23"/>
  <c r="E19" i="21"/>
  <c r="AE19" i="21"/>
  <c r="S19" i="21"/>
  <c r="K44" i="21"/>
  <c r="C44" i="22"/>
  <c r="AC44" i="22"/>
  <c r="K19" i="23"/>
  <c r="Q29" i="23"/>
  <c r="I44" i="23"/>
  <c r="AB29" i="21"/>
  <c r="AB4" i="23"/>
  <c r="L4" i="21"/>
  <c r="H19" i="21"/>
  <c r="AD29" i="21"/>
  <c r="AA4" i="22"/>
  <c r="Y19" i="22"/>
  <c r="E44" i="22"/>
  <c r="AE44" i="22"/>
  <c r="D29" i="21"/>
  <c r="AA44" i="21"/>
  <c r="L44" i="23"/>
  <c r="AA4" i="23"/>
  <c r="Z44" i="23"/>
  <c r="Z44" i="22"/>
  <c r="Z19" i="22"/>
  <c r="Z44" i="21"/>
  <c r="Z19" i="21"/>
  <c r="Z4" i="21"/>
  <c r="Y44" i="23"/>
  <c r="Y19" i="23"/>
  <c r="Y44" i="21"/>
  <c r="Y19" i="21"/>
  <c r="X44" i="23"/>
  <c r="X44" i="22"/>
  <c r="X19" i="22"/>
  <c r="X44" i="21"/>
  <c r="X19" i="21"/>
  <c r="X29" i="21"/>
  <c r="W19" i="21"/>
  <c r="P4" i="23"/>
  <c r="F19" i="23"/>
  <c r="O19" i="23"/>
  <c r="X19" i="23"/>
  <c r="AF19" i="23"/>
  <c r="E29" i="23"/>
  <c r="V44" i="23"/>
  <c r="H29" i="23"/>
  <c r="H4" i="23"/>
  <c r="I4" i="23"/>
  <c r="I29" i="23"/>
  <c r="K4" i="23"/>
  <c r="C19" i="23"/>
  <c r="L19" i="23"/>
  <c r="AC19" i="23"/>
  <c r="Y29" i="23"/>
  <c r="Y4" i="23"/>
  <c r="C29" i="23"/>
  <c r="Z29" i="23"/>
  <c r="O4" i="23"/>
  <c r="Z4" i="23"/>
  <c r="E19" i="23"/>
  <c r="N19" i="23"/>
  <c r="W19" i="23"/>
  <c r="AE19" i="23"/>
  <c r="AC29" i="23"/>
  <c r="V34" i="21"/>
  <c r="W34" i="21" s="1"/>
  <c r="X34" i="21" s="1"/>
  <c r="Y34" i="21" s="1"/>
  <c r="Z34" i="21" s="1"/>
  <c r="AA34" i="21" s="1"/>
  <c r="AB34" i="21" s="1"/>
  <c r="AC34" i="21" s="1"/>
  <c r="AD34" i="21" s="1"/>
  <c r="AE34" i="21" s="1"/>
  <c r="AF34" i="21" s="1"/>
  <c r="W44" i="23"/>
  <c r="W19" i="22"/>
  <c r="V19" i="23"/>
  <c r="V19" i="22"/>
  <c r="V44" i="21"/>
  <c r="V19" i="21"/>
  <c r="V4" i="21"/>
  <c r="U44" i="23"/>
  <c r="U19" i="23"/>
  <c r="S44" i="23"/>
  <c r="S19" i="23"/>
  <c r="S44" i="22"/>
  <c r="S44" i="21"/>
  <c r="C4" i="23"/>
  <c r="L4" i="23"/>
  <c r="U4" i="23"/>
  <c r="AC4" i="23"/>
  <c r="J29" i="23"/>
  <c r="R29" i="23"/>
  <c r="AA29" i="23"/>
  <c r="D4" i="23"/>
  <c r="M4" i="23"/>
  <c r="V4" i="23"/>
  <c r="AD4" i="23"/>
  <c r="K29" i="23"/>
  <c r="S29" i="23"/>
  <c r="AB29" i="23"/>
  <c r="I4" i="22"/>
  <c r="Q4" i="22"/>
  <c r="Z4" i="22"/>
  <c r="F29" i="22"/>
  <c r="O29" i="22"/>
  <c r="X29" i="22"/>
  <c r="AF29" i="22"/>
  <c r="D44" i="22"/>
  <c r="M44" i="22"/>
  <c r="V44" i="22"/>
  <c r="AD44" i="22"/>
  <c r="K4" i="22"/>
  <c r="S4" i="22"/>
  <c r="AB4" i="22"/>
  <c r="I29" i="22"/>
  <c r="Q29" i="22"/>
  <c r="Z29" i="22"/>
  <c r="D4" i="22"/>
  <c r="M4" i="22"/>
  <c r="V4" i="22"/>
  <c r="AD4" i="22"/>
  <c r="K29" i="22"/>
  <c r="S29" i="22"/>
  <c r="AB29" i="22"/>
  <c r="F4" i="22"/>
  <c r="O4" i="22"/>
  <c r="X4" i="22"/>
  <c r="AF4" i="22"/>
  <c r="U19" i="21"/>
  <c r="U44" i="21"/>
  <c r="J19" i="21"/>
  <c r="R19" i="21"/>
  <c r="AA19" i="21"/>
  <c r="H29" i="21"/>
  <c r="P29" i="21"/>
  <c r="Y29" i="21"/>
  <c r="E44" i="21"/>
  <c r="N44" i="21"/>
  <c r="W44" i="21"/>
  <c r="AE44" i="21"/>
  <c r="E4" i="21"/>
  <c r="N4" i="21"/>
  <c r="W4" i="21"/>
  <c r="AE4" i="21"/>
  <c r="J29" i="21"/>
  <c r="R29" i="21"/>
  <c r="AA29" i="21"/>
  <c r="O4" i="21"/>
  <c r="F4" i="21"/>
  <c r="X4" i="21"/>
  <c r="AF4" i="21"/>
  <c r="H4" i="21"/>
  <c r="P4" i="21"/>
  <c r="Y4" i="21"/>
  <c r="C29" i="21"/>
  <c r="L29" i="21"/>
  <c r="U29" i="21"/>
  <c r="AC29" i="21"/>
  <c r="AG11" i="7"/>
  <c r="AG15" i="7" s="1"/>
  <c r="AG11" i="8"/>
  <c r="AG15" i="8" s="1"/>
  <c r="AG11" i="9"/>
  <c r="AG15" i="9" s="1"/>
  <c r="AG11" i="10"/>
  <c r="AG15" i="10" s="1"/>
  <c r="AG11" i="11"/>
  <c r="AG15" i="11" s="1"/>
  <c r="AG11" i="12"/>
  <c r="AG15" i="12" s="1"/>
  <c r="AG11" i="13"/>
  <c r="AG15" i="13" s="1"/>
  <c r="S67" i="18" l="1"/>
  <c r="AF45" i="18" l="1"/>
  <c r="AE45" i="18"/>
  <c r="AD45" i="18"/>
  <c r="AC45" i="18"/>
  <c r="AB45" i="18"/>
  <c r="AA45" i="18"/>
  <c r="Z45" i="18"/>
  <c r="Y45" i="18"/>
  <c r="X45" i="18"/>
  <c r="W45" i="18"/>
  <c r="V45" i="18"/>
  <c r="V44" i="18" s="1"/>
  <c r="U45" i="18"/>
  <c r="AF30" i="18"/>
  <c r="AF44" i="18" s="1"/>
  <c r="AE30" i="18"/>
  <c r="AE29" i="18" s="1"/>
  <c r="AD30" i="18"/>
  <c r="AC30" i="18"/>
  <c r="AC29" i="18" s="1"/>
  <c r="AB30" i="18"/>
  <c r="AB29" i="18" s="1"/>
  <c r="AA30" i="18"/>
  <c r="Z30" i="18"/>
  <c r="Z29" i="18" s="1"/>
  <c r="Y30" i="18"/>
  <c r="Y29" i="18" s="1"/>
  <c r="X30" i="18"/>
  <c r="X29" i="18" s="1"/>
  <c r="W30" i="18"/>
  <c r="V30" i="18"/>
  <c r="V29" i="18" s="1"/>
  <c r="U30" i="18"/>
  <c r="U29" i="18" s="1"/>
  <c r="AF29" i="18"/>
  <c r="AD29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AF5" i="18"/>
  <c r="AF19" i="18" s="1"/>
  <c r="AE5" i="18"/>
  <c r="AE4" i="18" s="1"/>
  <c r="AD5" i="18"/>
  <c r="AD4" i="18" s="1"/>
  <c r="AC5" i="18"/>
  <c r="AC4" i="18" s="1"/>
  <c r="AB5" i="18"/>
  <c r="AB4" i="18" s="1"/>
  <c r="AA5" i="18"/>
  <c r="Z5" i="18"/>
  <c r="Y5" i="18"/>
  <c r="X5" i="18"/>
  <c r="X4" i="18" s="1"/>
  <c r="W5" i="18"/>
  <c r="W4" i="18" s="1"/>
  <c r="V5" i="18"/>
  <c r="V4" i="18" s="1"/>
  <c r="U5" i="18"/>
  <c r="U4" i="18" s="1"/>
  <c r="AA19" i="18" l="1"/>
  <c r="AD19" i="18"/>
  <c r="AE19" i="18"/>
  <c r="X19" i="18"/>
  <c r="AB44" i="18"/>
  <c r="Y44" i="18"/>
  <c r="AD44" i="18"/>
  <c r="AB19" i="18"/>
  <c r="AC44" i="18"/>
  <c r="AA4" i="18"/>
  <c r="Z44" i="18"/>
  <c r="Z19" i="18"/>
  <c r="Y19" i="18"/>
  <c r="Y4" i="18"/>
  <c r="W44" i="18"/>
  <c r="W29" i="18"/>
  <c r="W19" i="18"/>
  <c r="V19" i="18"/>
  <c r="U44" i="18"/>
  <c r="AA44" i="18"/>
  <c r="X44" i="18"/>
  <c r="AE44" i="18"/>
  <c r="AA29" i="18"/>
  <c r="Z4" i="18"/>
  <c r="AF4" i="18"/>
  <c r="U19" i="18"/>
  <c r="AC19" i="18"/>
  <c r="AF45" i="17" l="1"/>
  <c r="AF44" i="17" s="1"/>
  <c r="AE45" i="17"/>
  <c r="AD45" i="17"/>
  <c r="AC45" i="17"/>
  <c r="AB45" i="17"/>
  <c r="AA45" i="17"/>
  <c r="Z45" i="17"/>
  <c r="Y45" i="17"/>
  <c r="X45" i="17"/>
  <c r="W45" i="17"/>
  <c r="V45" i="17"/>
  <c r="U45" i="17"/>
  <c r="AE44" i="17"/>
  <c r="AF30" i="17"/>
  <c r="AE30" i="17"/>
  <c r="AD30" i="17"/>
  <c r="AD44" i="17" s="1"/>
  <c r="AC30" i="17"/>
  <c r="AB30" i="17"/>
  <c r="AB29" i="17" s="1"/>
  <c r="AA30" i="17"/>
  <c r="AA29" i="17" s="1"/>
  <c r="Z30" i="17"/>
  <c r="Z29" i="17" s="1"/>
  <c r="Y30" i="17"/>
  <c r="Y29" i="17" s="1"/>
  <c r="X30" i="17"/>
  <c r="X29" i="17" s="1"/>
  <c r="W30" i="17"/>
  <c r="W29" i="17" s="1"/>
  <c r="V30" i="17"/>
  <c r="U30" i="17"/>
  <c r="U29" i="17" s="1"/>
  <c r="AF29" i="17"/>
  <c r="AE29" i="17"/>
  <c r="AD29" i="17"/>
  <c r="AC29" i="17"/>
  <c r="AF20" i="17"/>
  <c r="AE20" i="17"/>
  <c r="AD20" i="17"/>
  <c r="AC20" i="17"/>
  <c r="AB20" i="17"/>
  <c r="AA20" i="17"/>
  <c r="AA19" i="17" s="1"/>
  <c r="Z20" i="17"/>
  <c r="Y20" i="17"/>
  <c r="X20" i="17"/>
  <c r="W20" i="17"/>
  <c r="V20" i="17"/>
  <c r="U20" i="17"/>
  <c r="AF5" i="17"/>
  <c r="AF19" i="17" s="1"/>
  <c r="AE5" i="17"/>
  <c r="AE4" i="17" s="1"/>
  <c r="AD5" i="17"/>
  <c r="AD4" i="17" s="1"/>
  <c r="AC5" i="17"/>
  <c r="AC4" i="17" s="1"/>
  <c r="AB5" i="17"/>
  <c r="AA5" i="17"/>
  <c r="Z5" i="17"/>
  <c r="Z4" i="17" s="1"/>
  <c r="Y5" i="17"/>
  <c r="Y4" i="17" s="1"/>
  <c r="X5" i="17"/>
  <c r="W5" i="17"/>
  <c r="W4" i="17" s="1"/>
  <c r="V5" i="17"/>
  <c r="V4" i="17" s="1"/>
  <c r="U5" i="17"/>
  <c r="U4" i="17" s="1"/>
  <c r="AA4" i="17"/>
  <c r="AF4" i="17" l="1"/>
  <c r="AA44" i="17"/>
  <c r="AC44" i="17"/>
  <c r="AB44" i="17"/>
  <c r="Z44" i="17"/>
  <c r="Z19" i="17"/>
  <c r="Y19" i="17"/>
  <c r="Y44" i="17"/>
  <c r="X19" i="17"/>
  <c r="X44" i="17"/>
  <c r="X4" i="17"/>
  <c r="W44" i="17"/>
  <c r="V44" i="17"/>
  <c r="V29" i="17"/>
  <c r="U44" i="17"/>
  <c r="AB19" i="17"/>
  <c r="AC19" i="17"/>
  <c r="AD19" i="17"/>
  <c r="AE19" i="17"/>
  <c r="AB4" i="17"/>
  <c r="U19" i="17"/>
  <c r="V19" i="17"/>
  <c r="W19" i="17"/>
  <c r="AF45" i="7" l="1"/>
  <c r="AE45" i="7"/>
  <c r="AD45" i="7"/>
  <c r="AC45" i="7"/>
  <c r="AB45" i="7"/>
  <c r="AA45" i="7"/>
  <c r="Z45" i="7"/>
  <c r="Y45" i="7"/>
  <c r="X45" i="7"/>
  <c r="W45" i="7"/>
  <c r="W44" i="7" s="1"/>
  <c r="V45" i="7"/>
  <c r="V44" i="7" s="1"/>
  <c r="U45" i="7"/>
  <c r="U44" i="7" s="1"/>
  <c r="AF30" i="7"/>
  <c r="AE30" i="7"/>
  <c r="AD30" i="7"/>
  <c r="AD44" i="7" s="1"/>
  <c r="AC30" i="7"/>
  <c r="AB30" i="7"/>
  <c r="AB29" i="7" s="1"/>
  <c r="AA30" i="7"/>
  <c r="AA29" i="7" s="1"/>
  <c r="Z30" i="7"/>
  <c r="Z29" i="7" s="1"/>
  <c r="Y30" i="7"/>
  <c r="Y29" i="7" s="1"/>
  <c r="X30" i="7"/>
  <c r="X29" i="7" s="1"/>
  <c r="W30" i="7"/>
  <c r="V30" i="7"/>
  <c r="V29" i="7" s="1"/>
  <c r="U30" i="7"/>
  <c r="AF29" i="7"/>
  <c r="AE29" i="7"/>
  <c r="AC29" i="7"/>
  <c r="W29" i="7"/>
  <c r="U29" i="7"/>
  <c r="AF20" i="7"/>
  <c r="AE20" i="7"/>
  <c r="AD20" i="7"/>
  <c r="AC20" i="7"/>
  <c r="AB20" i="7"/>
  <c r="AA20" i="7"/>
  <c r="Z20" i="7"/>
  <c r="Y20" i="7"/>
  <c r="X20" i="7"/>
  <c r="W20" i="7"/>
  <c r="V20" i="7"/>
  <c r="V19" i="7" s="1"/>
  <c r="U20" i="7"/>
  <c r="AF5" i="7"/>
  <c r="AE5" i="7"/>
  <c r="AD5" i="7"/>
  <c r="AC5" i="7"/>
  <c r="AC4" i="7" s="1"/>
  <c r="AB5" i="7"/>
  <c r="AA5" i="7"/>
  <c r="Z5" i="7"/>
  <c r="Y5" i="7"/>
  <c r="X5" i="7"/>
  <c r="X4" i="7" s="1"/>
  <c r="W5" i="7"/>
  <c r="W4" i="7" s="1"/>
  <c r="V5" i="7"/>
  <c r="V4" i="7" s="1"/>
  <c r="U5" i="7"/>
  <c r="U4" i="7" s="1"/>
  <c r="AF4" i="7"/>
  <c r="AE4" i="7"/>
  <c r="AD4" i="7"/>
  <c r="AF45" i="12"/>
  <c r="AE45" i="12"/>
  <c r="AD45" i="12"/>
  <c r="AC45" i="12"/>
  <c r="AB45" i="12"/>
  <c r="AB44" i="12" s="1"/>
  <c r="AA45" i="12"/>
  <c r="Z45" i="12"/>
  <c r="Y45" i="12"/>
  <c r="X45" i="12"/>
  <c r="W45" i="12"/>
  <c r="V45" i="12"/>
  <c r="U45" i="12"/>
  <c r="AE44" i="12"/>
  <c r="AD44" i="12"/>
  <c r="AF30" i="12"/>
  <c r="AF29" i="12" s="1"/>
  <c r="AE30" i="12"/>
  <c r="AE29" i="12" s="1"/>
  <c r="AD30" i="12"/>
  <c r="AD29" i="12" s="1"/>
  <c r="AC30" i="12"/>
  <c r="AC29" i="12" s="1"/>
  <c r="AB30" i="12"/>
  <c r="AA30" i="12"/>
  <c r="AA29" i="12" s="1"/>
  <c r="Z30" i="12"/>
  <c r="Y30" i="12"/>
  <c r="Y29" i="12" s="1"/>
  <c r="X30" i="12"/>
  <c r="X29" i="12" s="1"/>
  <c r="W30" i="12"/>
  <c r="W29" i="12" s="1"/>
  <c r="V30" i="12"/>
  <c r="V29" i="12" s="1"/>
  <c r="U30" i="12"/>
  <c r="U29" i="12" s="1"/>
  <c r="AB29" i="12"/>
  <c r="Z29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AF5" i="12"/>
  <c r="AE5" i="12"/>
  <c r="AE19" i="12" s="1"/>
  <c r="AD5" i="12"/>
  <c r="AC5" i="12"/>
  <c r="AB5" i="12"/>
  <c r="AB4" i="12" s="1"/>
  <c r="AA5" i="12"/>
  <c r="AA19" i="12" s="1"/>
  <c r="Z5" i="12"/>
  <c r="Y5" i="12"/>
  <c r="Y4" i="12" s="1"/>
  <c r="X5" i="12"/>
  <c r="X4" i="12" s="1"/>
  <c r="W5" i="12"/>
  <c r="V5" i="12"/>
  <c r="U5" i="12"/>
  <c r="AF4" i="12"/>
  <c r="AD4" i="12"/>
  <c r="AC4" i="12"/>
  <c r="W4" i="12"/>
  <c r="V4" i="12"/>
  <c r="U4" i="12"/>
  <c r="AF45" i="13"/>
  <c r="AF44" i="13" s="1"/>
  <c r="AE45" i="13"/>
  <c r="AD45" i="13"/>
  <c r="AC45" i="13"/>
  <c r="AB45" i="13"/>
  <c r="AA45" i="13"/>
  <c r="Z45" i="13"/>
  <c r="Y45" i="13"/>
  <c r="X45" i="13"/>
  <c r="W45" i="13"/>
  <c r="V45" i="13"/>
  <c r="V44" i="13" s="1"/>
  <c r="U45" i="13"/>
  <c r="U44" i="13" s="1"/>
  <c r="AE44" i="13"/>
  <c r="AF30" i="13"/>
  <c r="AE30" i="13"/>
  <c r="AD30" i="13"/>
  <c r="AD44" i="13" s="1"/>
  <c r="AC30" i="13"/>
  <c r="AC29" i="13" s="1"/>
  <c r="AB30" i="13"/>
  <c r="AB29" i="13" s="1"/>
  <c r="AA30" i="13"/>
  <c r="AA29" i="13" s="1"/>
  <c r="Z30" i="13"/>
  <c r="Z29" i="13" s="1"/>
  <c r="Y30" i="13"/>
  <c r="Y29" i="13" s="1"/>
  <c r="X30" i="13"/>
  <c r="W30" i="13"/>
  <c r="V30" i="13"/>
  <c r="U30" i="13"/>
  <c r="U29" i="13" s="1"/>
  <c r="AF29" i="13"/>
  <c r="AE29" i="13"/>
  <c r="AD29" i="13"/>
  <c r="W29" i="13"/>
  <c r="V29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AF5" i="13"/>
  <c r="AF4" i="13" s="1"/>
  <c r="AE5" i="13"/>
  <c r="AD5" i="13"/>
  <c r="AC5" i="13"/>
  <c r="AB5" i="13"/>
  <c r="AA5" i="13"/>
  <c r="Z5" i="13"/>
  <c r="Y5" i="13"/>
  <c r="X5" i="13"/>
  <c r="X4" i="13" s="1"/>
  <c r="W5" i="13"/>
  <c r="W4" i="13" s="1"/>
  <c r="V5" i="13"/>
  <c r="V4" i="13" s="1"/>
  <c r="U5" i="13"/>
  <c r="U4" i="13" s="1"/>
  <c r="AE4" i="13"/>
  <c r="AD4" i="13"/>
  <c r="AC4" i="13"/>
  <c r="AG11" i="14"/>
  <c r="AG15" i="14" s="1"/>
  <c r="AG11" i="15"/>
  <c r="AG15" i="15" s="1"/>
  <c r="AC44" i="12" l="1"/>
  <c r="AC19" i="7"/>
  <c r="AB19" i="7"/>
  <c r="AA19" i="13"/>
  <c r="AA19" i="7"/>
  <c r="Z44" i="7"/>
  <c r="Y44" i="13"/>
  <c r="AC19" i="12"/>
  <c r="AF44" i="12"/>
  <c r="AF19" i="7"/>
  <c r="AD29" i="7"/>
  <c r="AC44" i="7"/>
  <c r="AE4" i="12"/>
  <c r="V44" i="12"/>
  <c r="AB44" i="13"/>
  <c r="W44" i="12"/>
  <c r="AC44" i="13"/>
  <c r="AA44" i="7"/>
  <c r="AE44" i="7"/>
  <c r="U44" i="12"/>
  <c r="AB44" i="7"/>
  <c r="Y44" i="12"/>
  <c r="AD19" i="7"/>
  <c r="AF44" i="7"/>
  <c r="X44" i="13"/>
  <c r="AE19" i="7"/>
  <c r="AA44" i="12"/>
  <c r="AA44" i="13"/>
  <c r="Z44" i="13"/>
  <c r="Z44" i="12"/>
  <c r="Y19" i="7"/>
  <c r="Y19" i="13"/>
  <c r="Y44" i="7"/>
  <c r="X19" i="7"/>
  <c r="X29" i="13"/>
  <c r="X44" i="12"/>
  <c r="X44" i="7"/>
  <c r="W44" i="13"/>
  <c r="W19" i="12"/>
  <c r="W19" i="7"/>
  <c r="V19" i="12"/>
  <c r="U19" i="12"/>
  <c r="U19" i="7"/>
  <c r="Z19" i="7"/>
  <c r="Y4" i="7"/>
  <c r="Z4" i="7"/>
  <c r="AA4" i="7"/>
  <c r="AB4" i="7"/>
  <c r="AD19" i="12"/>
  <c r="X19" i="12"/>
  <c r="AF19" i="12"/>
  <c r="Z19" i="12"/>
  <c r="Y19" i="12"/>
  <c r="AB19" i="12"/>
  <c r="Z4" i="12"/>
  <c r="AA4" i="12"/>
  <c r="U19" i="13"/>
  <c r="AC19" i="13"/>
  <c r="W19" i="13"/>
  <c r="AE19" i="13"/>
  <c r="AD19" i="13"/>
  <c r="V19" i="13"/>
  <c r="AF19" i="13"/>
  <c r="X19" i="13"/>
  <c r="Z19" i="13"/>
  <c r="AB19" i="13"/>
  <c r="Y4" i="13"/>
  <c r="Z4" i="13"/>
  <c r="AA4" i="13"/>
  <c r="AB4" i="13"/>
  <c r="B2" i="20"/>
  <c r="B15" i="20" s="1"/>
  <c r="R63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F45" i="20"/>
  <c r="E45" i="20"/>
  <c r="D45" i="20"/>
  <c r="C45" i="20"/>
  <c r="B42" i="20"/>
  <c r="I34" i="20"/>
  <c r="J34" i="20" s="1"/>
  <c r="AF30" i="20"/>
  <c r="AF44" i="20" s="1"/>
  <c r="AE30" i="20"/>
  <c r="AE29" i="20" s="1"/>
  <c r="AD30" i="20"/>
  <c r="AD29" i="20" s="1"/>
  <c r="AC30" i="20"/>
  <c r="AB30" i="20"/>
  <c r="AA30" i="20"/>
  <c r="AA29" i="20" s="1"/>
  <c r="Z30" i="20"/>
  <c r="Y30" i="20"/>
  <c r="X30" i="20"/>
  <c r="X29" i="20" s="1"/>
  <c r="W30" i="20"/>
  <c r="W29" i="20" s="1"/>
  <c r="V30" i="20"/>
  <c r="V29" i="20" s="1"/>
  <c r="U30" i="20"/>
  <c r="S30" i="20"/>
  <c r="S29" i="20" s="1"/>
  <c r="R30" i="20"/>
  <c r="R44" i="20" s="1"/>
  <c r="Q30" i="20"/>
  <c r="P30" i="20"/>
  <c r="O30" i="20"/>
  <c r="O44" i="20" s="1"/>
  <c r="N30" i="20"/>
  <c r="N29" i="20" s="1"/>
  <c r="M30" i="20"/>
  <c r="M29" i="20" s="1"/>
  <c r="L30" i="20"/>
  <c r="K30" i="20"/>
  <c r="K29" i="20" s="1"/>
  <c r="J30" i="20"/>
  <c r="I30" i="20"/>
  <c r="H30" i="20"/>
  <c r="F30" i="20"/>
  <c r="F29" i="20" s="1"/>
  <c r="E30" i="20"/>
  <c r="E29" i="20" s="1"/>
  <c r="D30" i="20"/>
  <c r="D29" i="20" s="1"/>
  <c r="C30" i="20"/>
  <c r="B30" i="20"/>
  <c r="B29" i="20" s="1"/>
  <c r="J29" i="20"/>
  <c r="B27" i="20"/>
  <c r="B40" i="20" s="1"/>
  <c r="AF20" i="20"/>
  <c r="AE20" i="20"/>
  <c r="AD20" i="20"/>
  <c r="AD19" i="20" s="1"/>
  <c r="AC20" i="20"/>
  <c r="AB20" i="20"/>
  <c r="AA20" i="20"/>
  <c r="Z20" i="20"/>
  <c r="Y20" i="20"/>
  <c r="X20" i="20"/>
  <c r="W20" i="20"/>
  <c r="V20" i="20"/>
  <c r="U20" i="20"/>
  <c r="S20" i="20"/>
  <c r="S19" i="20" s="1"/>
  <c r="R20" i="20"/>
  <c r="Q20" i="20"/>
  <c r="P20" i="20"/>
  <c r="O20" i="20"/>
  <c r="N20" i="20"/>
  <c r="M20" i="20"/>
  <c r="L20" i="20"/>
  <c r="K20" i="20"/>
  <c r="K19" i="20" s="1"/>
  <c r="J20" i="20"/>
  <c r="I20" i="20"/>
  <c r="H20" i="20"/>
  <c r="F20" i="20"/>
  <c r="E20" i="20"/>
  <c r="D20" i="20"/>
  <c r="C20" i="20"/>
  <c r="B17" i="20"/>
  <c r="AF5" i="20"/>
  <c r="AF19" i="20" s="1"/>
  <c r="AE5" i="20"/>
  <c r="AD5" i="20"/>
  <c r="AD4" i="20" s="1"/>
  <c r="AC5" i="20"/>
  <c r="AC4" i="20" s="1"/>
  <c r="AB5" i="20"/>
  <c r="AB4" i="20" s="1"/>
  <c r="AA5" i="20"/>
  <c r="AA4" i="20" s="1"/>
  <c r="Z5" i="20"/>
  <c r="Z4" i="20" s="1"/>
  <c r="Y5" i="20"/>
  <c r="Y4" i="20" s="1"/>
  <c r="X5" i="20"/>
  <c r="W5" i="20"/>
  <c r="V5" i="20"/>
  <c r="V4" i="20" s="1"/>
  <c r="U5" i="20"/>
  <c r="U4" i="20" s="1"/>
  <c r="S5" i="20"/>
  <c r="S4" i="20" s="1"/>
  <c r="R5" i="20"/>
  <c r="R4" i="20" s="1"/>
  <c r="Q5" i="20"/>
  <c r="Q4" i="20" s="1"/>
  <c r="P5" i="20"/>
  <c r="P4" i="20" s="1"/>
  <c r="O5" i="20"/>
  <c r="O4" i="20" s="1"/>
  <c r="N5" i="20"/>
  <c r="N4" i="20" s="1"/>
  <c r="M5" i="20"/>
  <c r="M4" i="20" s="1"/>
  <c r="L5" i="20"/>
  <c r="L4" i="20" s="1"/>
  <c r="K5" i="20"/>
  <c r="J5" i="20"/>
  <c r="J4" i="20" s="1"/>
  <c r="I5" i="20"/>
  <c r="I4" i="20" s="1"/>
  <c r="H5" i="20"/>
  <c r="H4" i="20" s="1"/>
  <c r="F5" i="20"/>
  <c r="E5" i="20"/>
  <c r="D5" i="20"/>
  <c r="D4" i="20" s="1"/>
  <c r="C5" i="20"/>
  <c r="C4" i="20" s="1"/>
  <c r="B5" i="20"/>
  <c r="B4" i="20" s="1"/>
  <c r="AF4" i="20"/>
  <c r="W4" i="20"/>
  <c r="K4" i="20"/>
  <c r="F4" i="20"/>
  <c r="AF45" i="8"/>
  <c r="AE45" i="8"/>
  <c r="AE44" i="8" s="1"/>
  <c r="AD45" i="8"/>
  <c r="AC45" i="8"/>
  <c r="AB45" i="8"/>
  <c r="AA45" i="8"/>
  <c r="Z45" i="8"/>
  <c r="Y45" i="8"/>
  <c r="X45" i="8"/>
  <c r="W45" i="8"/>
  <c r="V45" i="8"/>
  <c r="U45" i="8"/>
  <c r="AD44" i="8"/>
  <c r="AF30" i="8"/>
  <c r="AF29" i="8" s="1"/>
  <c r="AE30" i="8"/>
  <c r="AD30" i="8"/>
  <c r="AD29" i="8" s="1"/>
  <c r="AC30" i="8"/>
  <c r="AC29" i="8" s="1"/>
  <c r="AB30" i="8"/>
  <c r="AB29" i="8" s="1"/>
  <c r="AA30" i="8"/>
  <c r="AA29" i="8" s="1"/>
  <c r="Z30" i="8"/>
  <c r="Z29" i="8" s="1"/>
  <c r="Y30" i="8"/>
  <c r="Y29" i="8" s="1"/>
  <c r="X30" i="8"/>
  <c r="X29" i="8" s="1"/>
  <c r="W30" i="8"/>
  <c r="V30" i="8"/>
  <c r="V29" i="8" s="1"/>
  <c r="U30" i="8"/>
  <c r="U29" i="8" s="1"/>
  <c r="AE29" i="8"/>
  <c r="AF20" i="8"/>
  <c r="AE20" i="8"/>
  <c r="AD20" i="8"/>
  <c r="AC20" i="8"/>
  <c r="AB20" i="8"/>
  <c r="AA20" i="8"/>
  <c r="Z20" i="8"/>
  <c r="Y20" i="8"/>
  <c r="X20" i="8"/>
  <c r="W20" i="8"/>
  <c r="V20" i="8"/>
  <c r="U20" i="8"/>
  <c r="AF5" i="8"/>
  <c r="AF19" i="8" s="1"/>
  <c r="AE5" i="8"/>
  <c r="AE4" i="8" s="1"/>
  <c r="AD5" i="8"/>
  <c r="AD4" i="8" s="1"/>
  <c r="AC5" i="8"/>
  <c r="AC4" i="8" s="1"/>
  <c r="AB5" i="8"/>
  <c r="AA5" i="8"/>
  <c r="AA4" i="8" s="1"/>
  <c r="Z5" i="8"/>
  <c r="Y5" i="8"/>
  <c r="X5" i="8"/>
  <c r="W5" i="8"/>
  <c r="W4" i="8" s="1"/>
  <c r="V5" i="8"/>
  <c r="V4" i="8" s="1"/>
  <c r="U5" i="8"/>
  <c r="AF4" i="8"/>
  <c r="X4" i="8"/>
  <c r="U4" i="8"/>
  <c r="AF47" i="9"/>
  <c r="AF45" i="9"/>
  <c r="AF44" i="9" s="1"/>
  <c r="AE45" i="9"/>
  <c r="AD45" i="9"/>
  <c r="AC45" i="9"/>
  <c r="AB45" i="9"/>
  <c r="AA45" i="9"/>
  <c r="Z45" i="9"/>
  <c r="Y45" i="9"/>
  <c r="X45" i="9"/>
  <c r="W45" i="9"/>
  <c r="V45" i="9"/>
  <c r="V44" i="9" s="1"/>
  <c r="U45" i="9"/>
  <c r="AE44" i="9"/>
  <c r="AF30" i="9"/>
  <c r="AF29" i="9" s="1"/>
  <c r="AE30" i="9"/>
  <c r="AE29" i="9" s="1"/>
  <c r="AD30" i="9"/>
  <c r="AD29" i="9" s="1"/>
  <c r="AC30" i="9"/>
  <c r="AC29" i="9" s="1"/>
  <c r="AB30" i="9"/>
  <c r="AB29" i="9" s="1"/>
  <c r="AA30" i="9"/>
  <c r="AA29" i="9" s="1"/>
  <c r="Z30" i="9"/>
  <c r="Z44" i="9" s="1"/>
  <c r="Y30" i="9"/>
  <c r="Y29" i="9" s="1"/>
  <c r="X30" i="9"/>
  <c r="X29" i="9" s="1"/>
  <c r="W30" i="9"/>
  <c r="W29" i="9" s="1"/>
  <c r="V30" i="9"/>
  <c r="V29" i="9" s="1"/>
  <c r="U30" i="9"/>
  <c r="U29" i="9" s="1"/>
  <c r="AF20" i="9"/>
  <c r="AE20" i="9"/>
  <c r="AD20" i="9"/>
  <c r="AC20" i="9"/>
  <c r="AB20" i="9"/>
  <c r="AA20" i="9"/>
  <c r="Z20" i="9"/>
  <c r="Y20" i="9"/>
  <c r="X20" i="9"/>
  <c r="W20" i="9"/>
  <c r="W19" i="9" s="1"/>
  <c r="V20" i="9"/>
  <c r="U20" i="9"/>
  <c r="AF5" i="9"/>
  <c r="AE5" i="9"/>
  <c r="AE19" i="9" s="1"/>
  <c r="AD5" i="9"/>
  <c r="AC5" i="9"/>
  <c r="AC4" i="9" s="1"/>
  <c r="AB5" i="9"/>
  <c r="AA5" i="9"/>
  <c r="AA4" i="9" s="1"/>
  <c r="Z5" i="9"/>
  <c r="Y5" i="9"/>
  <c r="X5" i="9"/>
  <c r="X4" i="9" s="1"/>
  <c r="W5" i="9"/>
  <c r="W4" i="9" s="1"/>
  <c r="V5" i="9"/>
  <c r="V4" i="9" s="1"/>
  <c r="U5" i="9"/>
  <c r="U4" i="9" s="1"/>
  <c r="AF4" i="9"/>
  <c r="AD4" i="9"/>
  <c r="AF45" i="10"/>
  <c r="AE45" i="10"/>
  <c r="AD45" i="10"/>
  <c r="AC45" i="10"/>
  <c r="AB45" i="10"/>
  <c r="AA45" i="10"/>
  <c r="AA44" i="10" s="1"/>
  <c r="Z45" i="10"/>
  <c r="Y45" i="10"/>
  <c r="X45" i="10"/>
  <c r="W45" i="10"/>
  <c r="V45" i="10"/>
  <c r="U45" i="10"/>
  <c r="AF30" i="10"/>
  <c r="AF29" i="10" s="1"/>
  <c r="AE30" i="10"/>
  <c r="AE29" i="10" s="1"/>
  <c r="AD30" i="10"/>
  <c r="AD29" i="10" s="1"/>
  <c r="AC30" i="10"/>
  <c r="AC29" i="10" s="1"/>
  <c r="AB30" i="10"/>
  <c r="AB29" i="10" s="1"/>
  <c r="AA30" i="10"/>
  <c r="AA29" i="10" s="1"/>
  <c r="Z30" i="10"/>
  <c r="Z29" i="10" s="1"/>
  <c r="Y30" i="10"/>
  <c r="X30" i="10"/>
  <c r="X29" i="10" s="1"/>
  <c r="W30" i="10"/>
  <c r="W29" i="10" s="1"/>
  <c r="V30" i="10"/>
  <c r="V29" i="10" s="1"/>
  <c r="U30" i="10"/>
  <c r="U29" i="10" s="1"/>
  <c r="Y29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AF5" i="10"/>
  <c r="AE5" i="10"/>
  <c r="AE19" i="10" s="1"/>
  <c r="AD5" i="10"/>
  <c r="AD19" i="10" s="1"/>
  <c r="AC5" i="10"/>
  <c r="AC19" i="10" s="1"/>
  <c r="AB5" i="10"/>
  <c r="AB4" i="10" s="1"/>
  <c r="AA5" i="10"/>
  <c r="AA4" i="10" s="1"/>
  <c r="Z5" i="10"/>
  <c r="Y5" i="10"/>
  <c r="X5" i="10"/>
  <c r="W5" i="10"/>
  <c r="V5" i="10"/>
  <c r="V4" i="10" s="1"/>
  <c r="U5" i="10"/>
  <c r="U4" i="10" s="1"/>
  <c r="AE4" i="10"/>
  <c r="AD4" i="10"/>
  <c r="W4" i="10"/>
  <c r="AE45" i="16"/>
  <c r="AE44" i="16" s="1"/>
  <c r="AF37" i="16"/>
  <c r="D37" i="16"/>
  <c r="E37" i="16"/>
  <c r="F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U37" i="16"/>
  <c r="V37" i="16"/>
  <c r="W37" i="16"/>
  <c r="X37" i="16"/>
  <c r="Y37" i="16"/>
  <c r="Z37" i="16"/>
  <c r="AA37" i="16"/>
  <c r="AB37" i="16"/>
  <c r="AC37" i="16"/>
  <c r="AD37" i="16"/>
  <c r="AE37" i="16"/>
  <c r="C37" i="16"/>
  <c r="D36" i="16"/>
  <c r="E36" i="16"/>
  <c r="F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C36" i="16"/>
  <c r="C32" i="16"/>
  <c r="D32" i="16"/>
  <c r="E32" i="16"/>
  <c r="F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B32" i="16"/>
  <c r="C31" i="16"/>
  <c r="D31" i="16"/>
  <c r="E31" i="16"/>
  <c r="F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U31" i="16"/>
  <c r="U29" i="16" s="1"/>
  <c r="V31" i="16"/>
  <c r="V29" i="16" s="1"/>
  <c r="W31" i="16"/>
  <c r="W29" i="16" s="1"/>
  <c r="X31" i="16"/>
  <c r="X29" i="16" s="1"/>
  <c r="Y31" i="16"/>
  <c r="Y29" i="16" s="1"/>
  <c r="Z31" i="16"/>
  <c r="Z29" i="16" s="1"/>
  <c r="AA31" i="16"/>
  <c r="AA29" i="16" s="1"/>
  <c r="AB31" i="16"/>
  <c r="AB29" i="16" s="1"/>
  <c r="AC31" i="16"/>
  <c r="AC29" i="16" s="1"/>
  <c r="AD31" i="16"/>
  <c r="AD29" i="16" s="1"/>
  <c r="AE31" i="16"/>
  <c r="AE29" i="16" s="1"/>
  <c r="AF31" i="16"/>
  <c r="AF29" i="16" s="1"/>
  <c r="B31" i="16"/>
  <c r="D12" i="16"/>
  <c r="E12" i="16"/>
  <c r="F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C12" i="16"/>
  <c r="D11" i="16"/>
  <c r="E11" i="16"/>
  <c r="F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C11" i="16"/>
  <c r="H7" i="16"/>
  <c r="I7" i="16"/>
  <c r="J7" i="16"/>
  <c r="K7" i="16"/>
  <c r="L7" i="16"/>
  <c r="M7" i="16"/>
  <c r="N7" i="16"/>
  <c r="O7" i="16"/>
  <c r="P7" i="16"/>
  <c r="Q7" i="16"/>
  <c r="R7" i="16"/>
  <c r="S7" i="16"/>
  <c r="U7" i="16"/>
  <c r="V7" i="16"/>
  <c r="W7" i="16"/>
  <c r="X7" i="16"/>
  <c r="Y7" i="16"/>
  <c r="Z7" i="16"/>
  <c r="AA7" i="16"/>
  <c r="AB7" i="16"/>
  <c r="AC7" i="16"/>
  <c r="AD7" i="16"/>
  <c r="AE7" i="16"/>
  <c r="AF7" i="16"/>
  <c r="D7" i="16"/>
  <c r="E7" i="16"/>
  <c r="F7" i="16"/>
  <c r="C7" i="16"/>
  <c r="B7" i="16"/>
  <c r="C6" i="16"/>
  <c r="D6" i="16"/>
  <c r="E6" i="16"/>
  <c r="F6" i="16"/>
  <c r="H6" i="16"/>
  <c r="I6" i="16"/>
  <c r="J6" i="16"/>
  <c r="K6" i="16"/>
  <c r="L6" i="16"/>
  <c r="M6" i="16"/>
  <c r="N6" i="16"/>
  <c r="O6" i="16"/>
  <c r="P6" i="16"/>
  <c r="Q6" i="16"/>
  <c r="R6" i="16"/>
  <c r="S6" i="16"/>
  <c r="U6" i="16"/>
  <c r="U4" i="16" s="1"/>
  <c r="V6" i="16"/>
  <c r="V4" i="16" s="1"/>
  <c r="W6" i="16"/>
  <c r="W4" i="16" s="1"/>
  <c r="X6" i="16"/>
  <c r="X4" i="16" s="1"/>
  <c r="Y6" i="16"/>
  <c r="Y4" i="16" s="1"/>
  <c r="Z6" i="16"/>
  <c r="Z4" i="16" s="1"/>
  <c r="AA6" i="16"/>
  <c r="AA4" i="16" s="1"/>
  <c r="AB6" i="16"/>
  <c r="AB4" i="16" s="1"/>
  <c r="AC6" i="16"/>
  <c r="AC4" i="16" s="1"/>
  <c r="AD6" i="16"/>
  <c r="AD4" i="16" s="1"/>
  <c r="AE6" i="16"/>
  <c r="AE4" i="16" s="1"/>
  <c r="AF6" i="16"/>
  <c r="AF4" i="16" s="1"/>
  <c r="B6" i="16"/>
  <c r="B28" i="16"/>
  <c r="B3" i="16"/>
  <c r="AF45" i="14"/>
  <c r="AE45" i="14"/>
  <c r="AD45" i="14"/>
  <c r="AC45" i="14"/>
  <c r="AB45" i="14"/>
  <c r="AA45" i="14"/>
  <c r="Z45" i="14"/>
  <c r="Y45" i="14"/>
  <c r="X45" i="14"/>
  <c r="W45" i="14"/>
  <c r="W44" i="14" s="1"/>
  <c r="V45" i="14"/>
  <c r="V44" i="14" s="1"/>
  <c r="U45" i="14"/>
  <c r="AF30" i="14"/>
  <c r="AE30" i="14"/>
  <c r="AE44" i="14" s="1"/>
  <c r="AD30" i="14"/>
  <c r="AD29" i="14" s="1"/>
  <c r="AC30" i="14"/>
  <c r="AC29" i="14" s="1"/>
  <c r="AB30" i="14"/>
  <c r="AB44" i="14" s="1"/>
  <c r="AA30" i="14"/>
  <c r="AA29" i="14" s="1"/>
  <c r="Z30" i="14"/>
  <c r="Y30" i="14"/>
  <c r="Y29" i="14" s="1"/>
  <c r="X30" i="14"/>
  <c r="W30" i="14"/>
  <c r="W29" i="14" s="1"/>
  <c r="V30" i="14"/>
  <c r="V29" i="14" s="1"/>
  <c r="U30" i="14"/>
  <c r="AF29" i="14"/>
  <c r="X29" i="14"/>
  <c r="U29" i="14"/>
  <c r="AF20" i="14"/>
  <c r="AE20" i="14"/>
  <c r="AD20" i="14"/>
  <c r="AC20" i="14"/>
  <c r="AB20" i="14"/>
  <c r="AA20" i="14"/>
  <c r="AA19" i="14" s="1"/>
  <c r="Z20" i="14"/>
  <c r="Y20" i="14"/>
  <c r="X20" i="14"/>
  <c r="W20" i="14"/>
  <c r="V20" i="14"/>
  <c r="U20" i="14"/>
  <c r="AF5" i="14"/>
  <c r="AE5" i="14"/>
  <c r="AD5" i="14"/>
  <c r="AD4" i="14" s="1"/>
  <c r="AC5" i="14"/>
  <c r="AC4" i="14" s="1"/>
  <c r="AB5" i="14"/>
  <c r="AB4" i="14" s="1"/>
  <c r="AA5" i="14"/>
  <c r="AA4" i="14" s="1"/>
  <c r="Z5" i="14"/>
  <c r="Z4" i="14" s="1"/>
  <c r="Y5" i="14"/>
  <c r="Y4" i="14" s="1"/>
  <c r="X5" i="14"/>
  <c r="X4" i="14" s="1"/>
  <c r="W5" i="14"/>
  <c r="W4" i="14" s="1"/>
  <c r="V5" i="14"/>
  <c r="V4" i="14" s="1"/>
  <c r="U5" i="14"/>
  <c r="U4" i="14" s="1"/>
  <c r="AF4" i="14"/>
  <c r="AE4" i="14"/>
  <c r="AF45" i="15"/>
  <c r="AF44" i="15" s="1"/>
  <c r="AE45" i="15"/>
  <c r="AD45" i="15"/>
  <c r="AC45" i="15"/>
  <c r="AB45" i="15"/>
  <c r="AA45" i="15"/>
  <c r="Z45" i="15"/>
  <c r="Y45" i="15"/>
  <c r="X45" i="15"/>
  <c r="W45" i="15"/>
  <c r="V45" i="15"/>
  <c r="U45" i="15"/>
  <c r="AE44" i="15"/>
  <c r="AD44" i="15"/>
  <c r="W44" i="15"/>
  <c r="AF30" i="15"/>
  <c r="AF29" i="15" s="1"/>
  <c r="AE30" i="15"/>
  <c r="AE29" i="15" s="1"/>
  <c r="AD30" i="15"/>
  <c r="AD29" i="15" s="1"/>
  <c r="AC30" i="15"/>
  <c r="AC29" i="15" s="1"/>
  <c r="AB30" i="15"/>
  <c r="AB29" i="15" s="1"/>
  <c r="AA30" i="15"/>
  <c r="AA29" i="15" s="1"/>
  <c r="Z30" i="15"/>
  <c r="Z29" i="15" s="1"/>
  <c r="Y30" i="15"/>
  <c r="Y29" i="15" s="1"/>
  <c r="X30" i="15"/>
  <c r="X29" i="15" s="1"/>
  <c r="W30" i="15"/>
  <c r="W29" i="15" s="1"/>
  <c r="V30" i="15"/>
  <c r="V29" i="15" s="1"/>
  <c r="U30" i="15"/>
  <c r="U29" i="15" s="1"/>
  <c r="AF20" i="15"/>
  <c r="AE20" i="15"/>
  <c r="AD20" i="15"/>
  <c r="AC20" i="15"/>
  <c r="AC20" i="16" s="1"/>
  <c r="AB20" i="15"/>
  <c r="AA20" i="15"/>
  <c r="Z20" i="15"/>
  <c r="Y20" i="15"/>
  <c r="X20" i="15"/>
  <c r="W20" i="15"/>
  <c r="V20" i="15"/>
  <c r="U20" i="15"/>
  <c r="AF5" i="15"/>
  <c r="AE5" i="15"/>
  <c r="AE19" i="15" s="1"/>
  <c r="AD5" i="15"/>
  <c r="AD19" i="15" s="1"/>
  <c r="AC5" i="15"/>
  <c r="AC4" i="15" s="1"/>
  <c r="AB5" i="15"/>
  <c r="AA5" i="15"/>
  <c r="Z5" i="15"/>
  <c r="Y5" i="15"/>
  <c r="X5" i="15"/>
  <c r="W5" i="15"/>
  <c r="V5" i="15"/>
  <c r="U5" i="15"/>
  <c r="U4" i="15" s="1"/>
  <c r="AF4" i="15"/>
  <c r="AE4" i="15"/>
  <c r="AD4" i="15"/>
  <c r="Y4" i="15"/>
  <c r="X4" i="15"/>
  <c r="W4" i="15"/>
  <c r="V4" i="15"/>
  <c r="AF45" i="11"/>
  <c r="AE45" i="11"/>
  <c r="AD45" i="11"/>
  <c r="AC45" i="11"/>
  <c r="AB45" i="11"/>
  <c r="AA45" i="11"/>
  <c r="Z45" i="11"/>
  <c r="Y45" i="11"/>
  <c r="X45" i="11"/>
  <c r="W45" i="11"/>
  <c r="V45" i="11"/>
  <c r="V44" i="11" s="1"/>
  <c r="U45" i="11"/>
  <c r="U44" i="11" s="1"/>
  <c r="AF30" i="11"/>
  <c r="AF44" i="11" s="1"/>
  <c r="AE30" i="11"/>
  <c r="AE44" i="11" s="1"/>
  <c r="AD30" i="11"/>
  <c r="AD44" i="11" s="1"/>
  <c r="AC30" i="11"/>
  <c r="AC29" i="11" s="1"/>
  <c r="AB30" i="11"/>
  <c r="AB44" i="11" s="1"/>
  <c r="AA30" i="11"/>
  <c r="AA29" i="11" s="1"/>
  <c r="Z30" i="11"/>
  <c r="Z29" i="11" s="1"/>
  <c r="Y30" i="11"/>
  <c r="Y29" i="11" s="1"/>
  <c r="X30" i="11"/>
  <c r="W30" i="11"/>
  <c r="W29" i="11" s="1"/>
  <c r="V30" i="11"/>
  <c r="U30" i="11"/>
  <c r="U29" i="11" s="1"/>
  <c r="AE29" i="11"/>
  <c r="V29" i="11"/>
  <c r="AF20" i="11"/>
  <c r="AF19" i="11" s="1"/>
  <c r="AE20" i="11"/>
  <c r="AD20" i="11"/>
  <c r="AC20" i="11"/>
  <c r="AB20" i="11"/>
  <c r="AA20" i="11"/>
  <c r="Z20" i="11"/>
  <c r="Y20" i="11"/>
  <c r="X20" i="11"/>
  <c r="W20" i="11"/>
  <c r="V20" i="11"/>
  <c r="U20" i="11"/>
  <c r="AF5" i="11"/>
  <c r="AE5" i="11"/>
  <c r="AE4" i="11" s="1"/>
  <c r="AD5" i="11"/>
  <c r="AD19" i="11" s="1"/>
  <c r="AC5" i="11"/>
  <c r="AC4" i="11" s="1"/>
  <c r="AB5" i="11"/>
  <c r="AA5" i="11"/>
  <c r="AA4" i="11" s="1"/>
  <c r="Z5" i="11"/>
  <c r="Z4" i="11" s="1"/>
  <c r="Y5" i="11"/>
  <c r="Y4" i="11" s="1"/>
  <c r="X5" i="11"/>
  <c r="X4" i="11" s="1"/>
  <c r="W5" i="11"/>
  <c r="W4" i="11" s="1"/>
  <c r="V5" i="11"/>
  <c r="V4" i="11" s="1"/>
  <c r="U5" i="11"/>
  <c r="U4" i="11" s="1"/>
  <c r="AF4" i="11"/>
  <c r="R63" i="8"/>
  <c r="R63" i="9"/>
  <c r="R63" i="10"/>
  <c r="R64" i="14"/>
  <c r="R65" i="15"/>
  <c r="R63" i="11"/>
  <c r="R63" i="17"/>
  <c r="AC44" i="14" l="1"/>
  <c r="AC44" i="8"/>
  <c r="AC44" i="15"/>
  <c r="AB44" i="20"/>
  <c r="AB44" i="10"/>
  <c r="AB44" i="15"/>
  <c r="AB44" i="8"/>
  <c r="AB19" i="14"/>
  <c r="AA19" i="15"/>
  <c r="AE29" i="14"/>
  <c r="E19" i="20"/>
  <c r="AE19" i="20"/>
  <c r="AB29" i="11"/>
  <c r="AD29" i="11"/>
  <c r="AC44" i="10"/>
  <c r="AD44" i="10"/>
  <c r="AA44" i="11"/>
  <c r="AC4" i="10"/>
  <c r="AD20" i="16"/>
  <c r="AD19" i="16" s="1"/>
  <c r="AE44" i="10"/>
  <c r="Z29" i="9"/>
  <c r="F19" i="20"/>
  <c r="U19" i="9"/>
  <c r="AB29" i="14"/>
  <c r="AA44" i="14"/>
  <c r="AE20" i="16"/>
  <c r="AF44" i="10"/>
  <c r="O29" i="20"/>
  <c r="J44" i="20"/>
  <c r="AC45" i="16"/>
  <c r="AC44" i="16" s="1"/>
  <c r="AF19" i="10"/>
  <c r="Y44" i="10"/>
  <c r="U44" i="10"/>
  <c r="AC19" i="14"/>
  <c r="AC19" i="20"/>
  <c r="AF19" i="9"/>
  <c r="Z19" i="8"/>
  <c r="AF44" i="8"/>
  <c r="AF29" i="11"/>
  <c r="AD44" i="14"/>
  <c r="D19" i="20"/>
  <c r="AE19" i="14"/>
  <c r="AF44" i="14"/>
  <c r="AB44" i="9"/>
  <c r="O19" i="20"/>
  <c r="AB19" i="20"/>
  <c r="AB29" i="20"/>
  <c r="U19" i="14"/>
  <c r="AB45" i="16"/>
  <c r="AB44" i="16" s="1"/>
  <c r="AF45" i="16"/>
  <c r="AF44" i="16" s="1"/>
  <c r="AC44" i="11"/>
  <c r="AF20" i="16"/>
  <c r="AA20" i="16"/>
  <c r="AA19" i="16" s="1"/>
  <c r="AA44" i="15"/>
  <c r="AF19" i="14"/>
  <c r="U44" i="14"/>
  <c r="W19" i="10"/>
  <c r="AC44" i="9"/>
  <c r="AF29" i="20"/>
  <c r="AA44" i="9"/>
  <c r="AA44" i="8"/>
  <c r="AA19" i="10"/>
  <c r="Z19" i="10"/>
  <c r="Z44" i="14"/>
  <c r="Z20" i="16"/>
  <c r="Z19" i="16" s="1"/>
  <c r="Z44" i="11"/>
  <c r="Z44" i="15"/>
  <c r="Z29" i="14"/>
  <c r="Z44" i="8"/>
  <c r="Z4" i="8"/>
  <c r="Z19" i="14"/>
  <c r="Y44" i="20"/>
  <c r="Y44" i="9"/>
  <c r="Y19" i="9"/>
  <c r="Y45" i="16"/>
  <c r="Y44" i="16" s="1"/>
  <c r="Y44" i="14"/>
  <c r="Y44" i="8"/>
  <c r="Y44" i="15"/>
  <c r="Y19" i="11"/>
  <c r="X19" i="20"/>
  <c r="X19" i="9"/>
  <c r="X19" i="10"/>
  <c r="X19" i="14"/>
  <c r="X45" i="16"/>
  <c r="X44" i="16" s="1"/>
  <c r="X44" i="11"/>
  <c r="X20" i="16"/>
  <c r="X19" i="16" s="1"/>
  <c r="X44" i="14"/>
  <c r="X29" i="11"/>
  <c r="X44" i="9"/>
  <c r="X44" i="8"/>
  <c r="X44" i="10"/>
  <c r="X44" i="15"/>
  <c r="X19" i="11"/>
  <c r="X4" i="20"/>
  <c r="W19" i="20"/>
  <c r="W44" i="8"/>
  <c r="W44" i="10"/>
  <c r="W19" i="14"/>
  <c r="W45" i="16"/>
  <c r="W44" i="16" s="1"/>
  <c r="W29" i="8"/>
  <c r="W44" i="11"/>
  <c r="W44" i="9"/>
  <c r="Z44" i="20"/>
  <c r="V44" i="10"/>
  <c r="V19" i="9"/>
  <c r="V19" i="10"/>
  <c r="V19" i="15"/>
  <c r="V20" i="16"/>
  <c r="V19" i="16" s="1"/>
  <c r="V44" i="8"/>
  <c r="V44" i="15"/>
  <c r="V19" i="20"/>
  <c r="U19" i="8"/>
  <c r="U19" i="10"/>
  <c r="U45" i="16"/>
  <c r="U44" i="16" s="1"/>
  <c r="U44" i="15"/>
  <c r="U44" i="9"/>
  <c r="U44" i="8"/>
  <c r="AE4" i="20"/>
  <c r="C19" i="20"/>
  <c r="L19" i="20"/>
  <c r="U19" i="20"/>
  <c r="R29" i="20"/>
  <c r="H19" i="20"/>
  <c r="P19" i="20"/>
  <c r="Y19" i="20"/>
  <c r="E4" i="20"/>
  <c r="C44" i="20"/>
  <c r="S44" i="20"/>
  <c r="K44" i="20"/>
  <c r="H44" i="20"/>
  <c r="P44" i="20"/>
  <c r="I44" i="20"/>
  <c r="Q44" i="20"/>
  <c r="L44" i="20"/>
  <c r="F44" i="20"/>
  <c r="K34" i="20"/>
  <c r="L34" i="20" s="1"/>
  <c r="AD45" i="16"/>
  <c r="AD44" i="16" s="1"/>
  <c r="AA44" i="20"/>
  <c r="U44" i="20"/>
  <c r="X44" i="20"/>
  <c r="AC44" i="20"/>
  <c r="M19" i="20"/>
  <c r="N19" i="20"/>
  <c r="I19" i="20"/>
  <c r="Q19" i="20"/>
  <c r="Z19" i="20"/>
  <c r="D44" i="20"/>
  <c r="M44" i="20"/>
  <c r="V44" i="20"/>
  <c r="AD44" i="20"/>
  <c r="J19" i="20"/>
  <c r="R19" i="20"/>
  <c r="AA19" i="20"/>
  <c r="H29" i="20"/>
  <c r="P29" i="20"/>
  <c r="Y29" i="20"/>
  <c r="E44" i="20"/>
  <c r="N44" i="20"/>
  <c r="W44" i="20"/>
  <c r="AE44" i="20"/>
  <c r="I29" i="20"/>
  <c r="Q29" i="20"/>
  <c r="Z29" i="20"/>
  <c r="C29" i="20"/>
  <c r="L29" i="20"/>
  <c r="U29" i="20"/>
  <c r="AC29" i="20"/>
  <c r="Z45" i="16"/>
  <c r="Z44" i="16" s="1"/>
  <c r="X19" i="8"/>
  <c r="Y19" i="8"/>
  <c r="Y20" i="16"/>
  <c r="Y19" i="16" s="1"/>
  <c r="U20" i="16"/>
  <c r="U19" i="16" s="1"/>
  <c r="AB20" i="16"/>
  <c r="AB19" i="16" s="1"/>
  <c r="AA19" i="8"/>
  <c r="AB19" i="8"/>
  <c r="AC19" i="8"/>
  <c r="Y4" i="8"/>
  <c r="V19" i="8"/>
  <c r="AD19" i="8"/>
  <c r="W19" i="8"/>
  <c r="AE19" i="8"/>
  <c r="AB4" i="8"/>
  <c r="V45" i="16"/>
  <c r="V44" i="16" s="1"/>
  <c r="AD44" i="9"/>
  <c r="AA19" i="9"/>
  <c r="AB19" i="9"/>
  <c r="Z19" i="9"/>
  <c r="AC19" i="9"/>
  <c r="AD19" i="9"/>
  <c r="AE4" i="9"/>
  <c r="Y4" i="9"/>
  <c r="Z4" i="9"/>
  <c r="AB4" i="9"/>
  <c r="Z44" i="10"/>
  <c r="AA45" i="16"/>
  <c r="AA44" i="16" s="1"/>
  <c r="AB19" i="10"/>
  <c r="Y19" i="10"/>
  <c r="X4" i="10"/>
  <c r="AF4" i="10"/>
  <c r="AF19" i="16"/>
  <c r="Y4" i="10"/>
  <c r="W20" i="16"/>
  <c r="W19" i="16" s="1"/>
  <c r="Z4" i="10"/>
  <c r="AE19" i="16"/>
  <c r="Y19" i="14"/>
  <c r="AC19" i="16"/>
  <c r="AD19" i="14"/>
  <c r="V19" i="14"/>
  <c r="X19" i="15"/>
  <c r="AF19" i="15"/>
  <c r="AB19" i="15"/>
  <c r="W19" i="15"/>
  <c r="Y19" i="15"/>
  <c r="Z19" i="15"/>
  <c r="AC19" i="15"/>
  <c r="Z4" i="15"/>
  <c r="AA4" i="15"/>
  <c r="U19" i="15"/>
  <c r="AB4" i="15"/>
  <c r="Y44" i="11"/>
  <c r="AB19" i="11"/>
  <c r="U19" i="11"/>
  <c r="AC19" i="11"/>
  <c r="AB4" i="11"/>
  <c r="V19" i="11"/>
  <c r="W19" i="11"/>
  <c r="AE19" i="11"/>
  <c r="AD4" i="11"/>
  <c r="Z19" i="11"/>
  <c r="AA19" i="11"/>
  <c r="S63" i="12"/>
  <c r="R63" i="12"/>
  <c r="R62" i="13"/>
  <c r="M34" i="20" l="1"/>
  <c r="R34" i="18"/>
  <c r="S34" i="18" s="1"/>
  <c r="U34" i="18" s="1"/>
  <c r="V34" i="18" s="1"/>
  <c r="W34" i="18" s="1"/>
  <c r="X34" i="18" s="1"/>
  <c r="Y34" i="18" s="1"/>
  <c r="Z34" i="18" s="1"/>
  <c r="AA34" i="18" s="1"/>
  <c r="AB34" i="18" s="1"/>
  <c r="AC34" i="18" s="1"/>
  <c r="AD34" i="18" s="1"/>
  <c r="AE34" i="18" s="1"/>
  <c r="AF34" i="18" s="1"/>
  <c r="Q34" i="18"/>
  <c r="Q9" i="18"/>
  <c r="M9" i="17"/>
  <c r="N9" i="17" s="1"/>
  <c r="O9" i="17" s="1"/>
  <c r="P9" i="17" s="1"/>
  <c r="Q9" i="17" s="1"/>
  <c r="R9" i="17" s="1"/>
  <c r="S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M34" i="17"/>
  <c r="M34" i="7"/>
  <c r="N34" i="7" s="1"/>
  <c r="O34" i="7" s="1"/>
  <c r="P34" i="7" s="1"/>
  <c r="Q34" i="7" s="1"/>
  <c r="R34" i="7" s="1"/>
  <c r="S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L34" i="7"/>
  <c r="L9" i="7"/>
  <c r="AJ27" i="18"/>
  <c r="AJ18" i="18"/>
  <c r="AK18" i="18" s="1"/>
  <c r="AI18" i="18"/>
  <c r="N34" i="20" l="1"/>
  <c r="S45" i="18"/>
  <c r="R45" i="18"/>
  <c r="Q45" i="18"/>
  <c r="P45" i="18"/>
  <c r="O45" i="18"/>
  <c r="N45" i="18"/>
  <c r="M45" i="18"/>
  <c r="L45" i="18"/>
  <c r="K45" i="18"/>
  <c r="J45" i="18"/>
  <c r="I45" i="18"/>
  <c r="H45" i="18"/>
  <c r="F45" i="18"/>
  <c r="E45" i="18"/>
  <c r="D45" i="18"/>
  <c r="C45" i="18"/>
  <c r="B42" i="18"/>
  <c r="S30" i="18"/>
  <c r="R30" i="18"/>
  <c r="Q30" i="18"/>
  <c r="P30" i="18"/>
  <c r="O30" i="18"/>
  <c r="O29" i="18" s="1"/>
  <c r="N30" i="18"/>
  <c r="N29" i="18" s="1"/>
  <c r="M30" i="18"/>
  <c r="M29" i="18" s="1"/>
  <c r="L30" i="18"/>
  <c r="L44" i="18" s="1"/>
  <c r="K30" i="18"/>
  <c r="J30" i="18"/>
  <c r="J29" i="18" s="1"/>
  <c r="I30" i="18"/>
  <c r="H30" i="18"/>
  <c r="F30" i="18"/>
  <c r="E30" i="18"/>
  <c r="D30" i="18"/>
  <c r="C30" i="18"/>
  <c r="B30" i="18"/>
  <c r="B29" i="18" s="1"/>
  <c r="R29" i="18"/>
  <c r="Q29" i="18"/>
  <c r="B27" i="18"/>
  <c r="B40" i="18" s="1"/>
  <c r="S20" i="18"/>
  <c r="R20" i="18"/>
  <c r="Q20" i="18"/>
  <c r="P20" i="18"/>
  <c r="O20" i="18"/>
  <c r="N20" i="18"/>
  <c r="M20" i="18"/>
  <c r="L20" i="18"/>
  <c r="K20" i="18"/>
  <c r="J20" i="18"/>
  <c r="I20" i="18"/>
  <c r="H20" i="18"/>
  <c r="F20" i="18"/>
  <c r="E20" i="18"/>
  <c r="D20" i="18"/>
  <c r="C20" i="18"/>
  <c r="B17" i="18"/>
  <c r="R9" i="18"/>
  <c r="S9" i="18" s="1"/>
  <c r="U9" i="18" s="1"/>
  <c r="V9" i="18" s="1"/>
  <c r="W9" i="18" s="1"/>
  <c r="X9" i="18" s="1"/>
  <c r="Y9" i="18" s="1"/>
  <c r="Z9" i="18" s="1"/>
  <c r="AA9" i="18" s="1"/>
  <c r="AB9" i="18" s="1"/>
  <c r="AC9" i="18" s="1"/>
  <c r="AD9" i="18" s="1"/>
  <c r="AE9" i="18" s="1"/>
  <c r="AF9" i="18" s="1"/>
  <c r="S5" i="18"/>
  <c r="R5" i="18"/>
  <c r="Q5" i="18"/>
  <c r="Q4" i="18" s="1"/>
  <c r="P5" i="18"/>
  <c r="P4" i="18" s="1"/>
  <c r="O5" i="18"/>
  <c r="N5" i="18"/>
  <c r="N4" i="18" s="1"/>
  <c r="M5" i="18"/>
  <c r="M4" i="18" s="1"/>
  <c r="L5" i="18"/>
  <c r="L4" i="18" s="1"/>
  <c r="K5" i="18"/>
  <c r="J5" i="18"/>
  <c r="I5" i="18"/>
  <c r="I4" i="18" s="1"/>
  <c r="H5" i="18"/>
  <c r="H4" i="18" s="1"/>
  <c r="F5" i="18"/>
  <c r="E5" i="18"/>
  <c r="D5" i="18"/>
  <c r="C5" i="18"/>
  <c r="B5" i="18"/>
  <c r="B4" i="18" s="1"/>
  <c r="R4" i="18"/>
  <c r="B2" i="18"/>
  <c r="B15" i="18" s="1"/>
  <c r="C19" i="18" l="1"/>
  <c r="C44" i="18"/>
  <c r="D44" i="18"/>
  <c r="E19" i="18"/>
  <c r="E44" i="18"/>
  <c r="O34" i="20"/>
  <c r="J44" i="18"/>
  <c r="R44" i="18"/>
  <c r="D19" i="18"/>
  <c r="O19" i="18"/>
  <c r="H44" i="18"/>
  <c r="F19" i="18"/>
  <c r="M19" i="18"/>
  <c r="N19" i="18"/>
  <c r="L29" i="18"/>
  <c r="J19" i="18"/>
  <c r="R19" i="18"/>
  <c r="I44" i="18"/>
  <c r="H19" i="18"/>
  <c r="P19" i="18"/>
  <c r="L19" i="18"/>
  <c r="K44" i="18"/>
  <c r="S44" i="18"/>
  <c r="I29" i="18"/>
  <c r="S19" i="18"/>
  <c r="F4" i="18"/>
  <c r="F44" i="18"/>
  <c r="J4" i="18"/>
  <c r="M44" i="18"/>
  <c r="F29" i="18"/>
  <c r="O4" i="18"/>
  <c r="K19" i="18"/>
  <c r="O44" i="18"/>
  <c r="P44" i="18"/>
  <c r="Q44" i="18"/>
  <c r="K4" i="18"/>
  <c r="S4" i="18"/>
  <c r="H29" i="18"/>
  <c r="P29" i="18"/>
  <c r="I19" i="18"/>
  <c r="Q19" i="18"/>
  <c r="N44" i="18"/>
  <c r="K29" i="18"/>
  <c r="S29" i="18"/>
  <c r="S45" i="17"/>
  <c r="R45" i="17"/>
  <c r="Q45" i="17"/>
  <c r="P45" i="17"/>
  <c r="O45" i="17"/>
  <c r="N45" i="17"/>
  <c r="M45" i="17"/>
  <c r="L45" i="17"/>
  <c r="K45" i="17"/>
  <c r="J45" i="17"/>
  <c r="I45" i="17"/>
  <c r="H45" i="17"/>
  <c r="F45" i="17"/>
  <c r="E45" i="17"/>
  <c r="D45" i="17"/>
  <c r="C45" i="17"/>
  <c r="B42" i="17"/>
  <c r="N34" i="17"/>
  <c r="O34" i="17" s="1"/>
  <c r="P34" i="17" s="1"/>
  <c r="Q34" i="17" s="1"/>
  <c r="R34" i="17" s="1"/>
  <c r="S34" i="17" s="1"/>
  <c r="U34" i="17" s="1"/>
  <c r="V34" i="17" s="1"/>
  <c r="W34" i="17" s="1"/>
  <c r="X34" i="17" s="1"/>
  <c r="Y34" i="17" s="1"/>
  <c r="Z34" i="17" s="1"/>
  <c r="AA34" i="17" s="1"/>
  <c r="AB34" i="17" s="1"/>
  <c r="AC34" i="17" s="1"/>
  <c r="AD34" i="17" s="1"/>
  <c r="AE34" i="17" s="1"/>
  <c r="AF34" i="17" s="1"/>
  <c r="S30" i="17"/>
  <c r="S29" i="17" s="1"/>
  <c r="R30" i="17"/>
  <c r="R29" i="17" s="1"/>
  <c r="Q30" i="17"/>
  <c r="Q29" i="17" s="1"/>
  <c r="P30" i="17"/>
  <c r="O30" i="17"/>
  <c r="N30" i="17"/>
  <c r="N29" i="17" s="1"/>
  <c r="M30" i="17"/>
  <c r="M29" i="17" s="1"/>
  <c r="L30" i="17"/>
  <c r="L29" i="17" s="1"/>
  <c r="K30" i="17"/>
  <c r="K29" i="17" s="1"/>
  <c r="J30" i="17"/>
  <c r="J44" i="17" s="1"/>
  <c r="I30" i="17"/>
  <c r="I29" i="17" s="1"/>
  <c r="H30" i="17"/>
  <c r="H44" i="17" s="1"/>
  <c r="F30" i="17"/>
  <c r="F44" i="17" s="1"/>
  <c r="E30" i="17"/>
  <c r="E44" i="17" s="1"/>
  <c r="D30" i="17"/>
  <c r="C30" i="17"/>
  <c r="B30" i="17"/>
  <c r="B29" i="17" s="1"/>
  <c r="B27" i="17"/>
  <c r="B40" i="17" s="1"/>
  <c r="S20" i="17"/>
  <c r="R20" i="17"/>
  <c r="Q20" i="17"/>
  <c r="P20" i="17"/>
  <c r="O20" i="17"/>
  <c r="N20" i="17"/>
  <c r="M20" i="17"/>
  <c r="L20" i="17"/>
  <c r="K20" i="17"/>
  <c r="J20" i="17"/>
  <c r="I20" i="17"/>
  <c r="H20" i="17"/>
  <c r="F20" i="17"/>
  <c r="E20" i="17"/>
  <c r="D20" i="17"/>
  <c r="C20" i="17"/>
  <c r="B17" i="17"/>
  <c r="S5" i="17"/>
  <c r="S4" i="17" s="1"/>
  <c r="R5" i="17"/>
  <c r="Q5" i="17"/>
  <c r="P5" i="17"/>
  <c r="P4" i="17" s="1"/>
  <c r="O5" i="17"/>
  <c r="O4" i="17" s="1"/>
  <c r="N5" i="17"/>
  <c r="N4" i="17" s="1"/>
  <c r="M5" i="17"/>
  <c r="M4" i="17" s="1"/>
  <c r="L5" i="17"/>
  <c r="L4" i="17" s="1"/>
  <c r="K5" i="17"/>
  <c r="K4" i="17" s="1"/>
  <c r="J5" i="17"/>
  <c r="J19" i="17" s="1"/>
  <c r="I5" i="17"/>
  <c r="I19" i="17" s="1"/>
  <c r="H5" i="17"/>
  <c r="H19" i="17" s="1"/>
  <c r="F5" i="17"/>
  <c r="F19" i="17" s="1"/>
  <c r="E5" i="17"/>
  <c r="E19" i="17" s="1"/>
  <c r="D5" i="17"/>
  <c r="D19" i="17" s="1"/>
  <c r="C5" i="17"/>
  <c r="B5" i="17"/>
  <c r="B4" i="17" s="1"/>
  <c r="B2" i="17"/>
  <c r="B15" i="17" s="1"/>
  <c r="K34" i="9"/>
  <c r="L34" i="9" s="1"/>
  <c r="M34" i="9" s="1"/>
  <c r="N34" i="9" s="1"/>
  <c r="O34" i="9" s="1"/>
  <c r="P34" i="9" s="1"/>
  <c r="Q34" i="9" s="1"/>
  <c r="R34" i="9" s="1"/>
  <c r="S34" i="9" s="1"/>
  <c r="U34" i="9" s="1"/>
  <c r="V34" i="9" s="1"/>
  <c r="W34" i="9" s="1"/>
  <c r="X34" i="9" s="1"/>
  <c r="Y34" i="9" s="1"/>
  <c r="Z34" i="9" s="1"/>
  <c r="AA34" i="9" s="1"/>
  <c r="AB34" i="9" s="1"/>
  <c r="AC34" i="9" s="1"/>
  <c r="AD34" i="9" s="1"/>
  <c r="AE34" i="9" s="1"/>
  <c r="AF34" i="9" s="1"/>
  <c r="K9" i="9"/>
  <c r="L9" i="9"/>
  <c r="M9" i="9" s="1"/>
  <c r="N9" i="9" s="1"/>
  <c r="O9" i="9" s="1"/>
  <c r="P9" i="9" s="1"/>
  <c r="Q9" i="9" s="1"/>
  <c r="R9" i="9" s="1"/>
  <c r="S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J4" i="17" l="1"/>
  <c r="C44" i="17"/>
  <c r="D44" i="17"/>
  <c r="P34" i="20"/>
  <c r="K44" i="17"/>
  <c r="K19" i="17"/>
  <c r="I4" i="17"/>
  <c r="S19" i="17"/>
  <c r="R19" i="17"/>
  <c r="Q19" i="17"/>
  <c r="Q4" i="17"/>
  <c r="R44" i="17"/>
  <c r="P44" i="17"/>
  <c r="P29" i="17"/>
  <c r="P19" i="17"/>
  <c r="O44" i="17"/>
  <c r="O19" i="17"/>
  <c r="O29" i="17"/>
  <c r="I44" i="17"/>
  <c r="Q44" i="17"/>
  <c r="S44" i="17"/>
  <c r="R4" i="17"/>
  <c r="M19" i="17"/>
  <c r="J29" i="17"/>
  <c r="C19" i="17"/>
  <c r="L19" i="17"/>
  <c r="F29" i="17"/>
  <c r="F4" i="17"/>
  <c r="H29" i="17"/>
  <c r="H4" i="17"/>
  <c r="M44" i="17"/>
  <c r="N44" i="17"/>
  <c r="L44" i="17"/>
  <c r="N19" i="17"/>
  <c r="I34" i="8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I9" i="8"/>
  <c r="J34" i="10"/>
  <c r="K34" i="10" s="1"/>
  <c r="L34" i="10" s="1"/>
  <c r="M34" i="10" s="1"/>
  <c r="N34" i="10" s="1"/>
  <c r="O34" i="10" s="1"/>
  <c r="P34" i="10" s="1"/>
  <c r="Q34" i="10" s="1"/>
  <c r="R34" i="10" s="1"/>
  <c r="S34" i="10" s="1"/>
  <c r="U34" i="10" s="1"/>
  <c r="V34" i="10" s="1"/>
  <c r="W34" i="10" s="1"/>
  <c r="X34" i="10" s="1"/>
  <c r="Y34" i="10" s="1"/>
  <c r="Z34" i="10" s="1"/>
  <c r="AA34" i="10" s="1"/>
  <c r="AB34" i="10" s="1"/>
  <c r="I34" i="10"/>
  <c r="I9" i="10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U9" i="10" s="1"/>
  <c r="V9" i="10" s="1"/>
  <c r="W9" i="10" s="1"/>
  <c r="X9" i="10" s="1"/>
  <c r="Y9" i="10" s="1"/>
  <c r="Z9" i="10" s="1"/>
  <c r="AA9" i="10" s="1"/>
  <c r="AB9" i="10" s="1"/>
  <c r="AC9" i="10" s="1"/>
  <c r="F34" i="11"/>
  <c r="H34" i="11" s="1"/>
  <c r="I34" i="11" s="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U34" i="11" s="1"/>
  <c r="V34" i="11" s="1"/>
  <c r="W34" i="11" s="1"/>
  <c r="X34" i="11" s="1"/>
  <c r="Y34" i="11" s="1"/>
  <c r="Z34" i="11" s="1"/>
  <c r="AA34" i="11" s="1"/>
  <c r="F9" i="1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U9" i="11" s="1"/>
  <c r="V9" i="11" s="1"/>
  <c r="W9" i="11" s="1"/>
  <c r="X9" i="11" s="1"/>
  <c r="Y9" i="11" s="1"/>
  <c r="Z9" i="11" s="1"/>
  <c r="AA9" i="11" s="1"/>
  <c r="AB9" i="11" s="1"/>
  <c r="D34" i="12"/>
  <c r="D9" i="12"/>
  <c r="B34" i="14"/>
  <c r="B34" i="15"/>
  <c r="B34" i="16" s="1"/>
  <c r="Q34" i="20" l="1"/>
  <c r="AC34" i="10"/>
  <c r="AD9" i="10"/>
  <c r="AB34" i="11"/>
  <c r="AC9" i="11"/>
  <c r="B29" i="12"/>
  <c r="B4" i="12"/>
  <c r="B29" i="13"/>
  <c r="B4" i="13"/>
  <c r="B29" i="14"/>
  <c r="B4" i="14"/>
  <c r="B4" i="15"/>
  <c r="R34" i="20" l="1"/>
  <c r="AD34" i="10"/>
  <c r="AE9" i="10"/>
  <c r="AC34" i="11"/>
  <c r="AD9" i="11"/>
  <c r="S29" i="16"/>
  <c r="R29" i="16"/>
  <c r="Q29" i="16"/>
  <c r="P29" i="16"/>
  <c r="O29" i="16"/>
  <c r="N29" i="16"/>
  <c r="M29" i="16"/>
  <c r="L29" i="16"/>
  <c r="K29" i="16"/>
  <c r="J29" i="16"/>
  <c r="I29" i="16"/>
  <c r="H29" i="16"/>
  <c r="F29" i="16"/>
  <c r="E29" i="16"/>
  <c r="D29" i="16"/>
  <c r="C29" i="16"/>
  <c r="B29" i="16"/>
  <c r="B27" i="16"/>
  <c r="S45" i="15"/>
  <c r="R45" i="15"/>
  <c r="Q45" i="15"/>
  <c r="P45" i="15"/>
  <c r="O45" i="15"/>
  <c r="N45" i="15"/>
  <c r="M45" i="15"/>
  <c r="L45" i="15"/>
  <c r="K45" i="15"/>
  <c r="J45" i="15"/>
  <c r="I45" i="15"/>
  <c r="H45" i="15"/>
  <c r="F45" i="15"/>
  <c r="E45" i="15"/>
  <c r="D45" i="15"/>
  <c r="C45" i="15"/>
  <c r="B42" i="15"/>
  <c r="S30" i="15"/>
  <c r="S29" i="15" s="1"/>
  <c r="R30" i="15"/>
  <c r="R44" i="15" s="1"/>
  <c r="Q30" i="15"/>
  <c r="Q29" i="15" s="1"/>
  <c r="P30" i="15"/>
  <c r="P29" i="15" s="1"/>
  <c r="O30" i="15"/>
  <c r="N30" i="15"/>
  <c r="N29" i="15" s="1"/>
  <c r="M30" i="15"/>
  <c r="M29" i="15" s="1"/>
  <c r="L30" i="15"/>
  <c r="K30" i="15"/>
  <c r="K29" i="15" s="1"/>
  <c r="J30" i="15"/>
  <c r="I30" i="15"/>
  <c r="I29" i="15" s="1"/>
  <c r="H30" i="15"/>
  <c r="H29" i="15" s="1"/>
  <c r="F30" i="15"/>
  <c r="E30" i="15"/>
  <c r="E29" i="15" s="1"/>
  <c r="D30" i="15"/>
  <c r="D29" i="15" s="1"/>
  <c r="C30" i="15"/>
  <c r="B30" i="15"/>
  <c r="S45" i="14"/>
  <c r="R45" i="14"/>
  <c r="Q45" i="14"/>
  <c r="P45" i="14"/>
  <c r="O45" i="14"/>
  <c r="N45" i="14"/>
  <c r="M45" i="14"/>
  <c r="L45" i="14"/>
  <c r="K45" i="14"/>
  <c r="J45" i="14"/>
  <c r="I45" i="14"/>
  <c r="H45" i="14"/>
  <c r="F45" i="14"/>
  <c r="E45" i="14"/>
  <c r="D45" i="14"/>
  <c r="C45" i="14"/>
  <c r="B42" i="14"/>
  <c r="S30" i="14"/>
  <c r="R30" i="14"/>
  <c r="R29" i="14" s="1"/>
  <c r="Q30" i="14"/>
  <c r="P30" i="14"/>
  <c r="P29" i="14" s="1"/>
  <c r="O30" i="14"/>
  <c r="O29" i="14" s="1"/>
  <c r="N30" i="14"/>
  <c r="M30" i="14"/>
  <c r="M29" i="14" s="1"/>
  <c r="L30" i="14"/>
  <c r="L29" i="14" s="1"/>
  <c r="K30" i="14"/>
  <c r="K29" i="14" s="1"/>
  <c r="J30" i="14"/>
  <c r="J29" i="14" s="1"/>
  <c r="I30" i="14"/>
  <c r="I29" i="14" s="1"/>
  <c r="H30" i="14"/>
  <c r="H29" i="14" s="1"/>
  <c r="F30" i="14"/>
  <c r="E30" i="14"/>
  <c r="E29" i="14" s="1"/>
  <c r="D30" i="14"/>
  <c r="D29" i="14" s="1"/>
  <c r="C30" i="14"/>
  <c r="F29" i="14"/>
  <c r="B27" i="14"/>
  <c r="B40" i="14" s="1"/>
  <c r="S45" i="13"/>
  <c r="R45" i="13"/>
  <c r="Q45" i="13"/>
  <c r="P45" i="13"/>
  <c r="O45" i="13"/>
  <c r="N45" i="13"/>
  <c r="M45" i="13"/>
  <c r="L45" i="13"/>
  <c r="K45" i="13"/>
  <c r="J45" i="13"/>
  <c r="I45" i="13"/>
  <c r="H45" i="13"/>
  <c r="F45" i="13"/>
  <c r="E45" i="13"/>
  <c r="D45" i="13"/>
  <c r="C45" i="13"/>
  <c r="B42" i="13"/>
  <c r="C34" i="13"/>
  <c r="D34" i="13" s="1"/>
  <c r="E34" i="13" s="1"/>
  <c r="F34" i="13" s="1"/>
  <c r="H34" i="13" s="1"/>
  <c r="I34" i="13" s="1"/>
  <c r="J34" i="13" s="1"/>
  <c r="K34" i="13" s="1"/>
  <c r="L34" i="13" s="1"/>
  <c r="M34" i="13" s="1"/>
  <c r="N34" i="13" s="1"/>
  <c r="O34" i="13" s="1"/>
  <c r="P34" i="13" s="1"/>
  <c r="Q34" i="13" s="1"/>
  <c r="R34" i="13" s="1"/>
  <c r="S34" i="13" s="1"/>
  <c r="U34" i="13" s="1"/>
  <c r="V34" i="13" s="1"/>
  <c r="W34" i="13" s="1"/>
  <c r="X34" i="13" s="1"/>
  <c r="Y34" i="13" s="1"/>
  <c r="Z34" i="13" s="1"/>
  <c r="AA34" i="13" s="1"/>
  <c r="AB34" i="13" s="1"/>
  <c r="AC34" i="13" s="1"/>
  <c r="AD34" i="13" s="1"/>
  <c r="AE34" i="13" s="1"/>
  <c r="AF34" i="13" s="1"/>
  <c r="S30" i="13"/>
  <c r="R30" i="13"/>
  <c r="R29" i="13" s="1"/>
  <c r="Q30" i="13"/>
  <c r="Q29" i="13" s="1"/>
  <c r="P30" i="13"/>
  <c r="P29" i="13" s="1"/>
  <c r="O30" i="13"/>
  <c r="O29" i="13" s="1"/>
  <c r="N30" i="13"/>
  <c r="M30" i="13"/>
  <c r="M29" i="13" s="1"/>
  <c r="L30" i="13"/>
  <c r="L29" i="13" s="1"/>
  <c r="K30" i="13"/>
  <c r="K29" i="13" s="1"/>
  <c r="J30" i="13"/>
  <c r="J29" i="13" s="1"/>
  <c r="I30" i="13"/>
  <c r="H30" i="13"/>
  <c r="F30" i="13"/>
  <c r="F29" i="13" s="1"/>
  <c r="E30" i="13"/>
  <c r="E29" i="13" s="1"/>
  <c r="D30" i="13"/>
  <c r="D29" i="13" s="1"/>
  <c r="C30" i="13"/>
  <c r="C44" i="13" s="1"/>
  <c r="B27" i="13"/>
  <c r="B40" i="13" s="1"/>
  <c r="S45" i="12"/>
  <c r="R45" i="12"/>
  <c r="Q45" i="12"/>
  <c r="P45" i="12"/>
  <c r="O45" i="12"/>
  <c r="N45" i="12"/>
  <c r="M45" i="12"/>
  <c r="L45" i="12"/>
  <c r="K45" i="12"/>
  <c r="J45" i="12"/>
  <c r="I45" i="12"/>
  <c r="H45" i="12"/>
  <c r="F45" i="12"/>
  <c r="E45" i="12"/>
  <c r="D45" i="12"/>
  <c r="C45" i="12"/>
  <c r="B42" i="12"/>
  <c r="E34" i="12"/>
  <c r="F34" i="12" s="1"/>
  <c r="H34" i="12" s="1"/>
  <c r="I34" i="12" s="1"/>
  <c r="J34" i="12" s="1"/>
  <c r="K34" i="12" s="1"/>
  <c r="L34" i="12" s="1"/>
  <c r="M34" i="12" s="1"/>
  <c r="N34" i="12" s="1"/>
  <c r="O34" i="12" s="1"/>
  <c r="P34" i="12" s="1"/>
  <c r="Q34" i="12" s="1"/>
  <c r="R34" i="12" s="1"/>
  <c r="S34" i="12" s="1"/>
  <c r="U34" i="12" s="1"/>
  <c r="V34" i="12" s="1"/>
  <c r="W34" i="12" s="1"/>
  <c r="X34" i="12" s="1"/>
  <c r="Y34" i="12" s="1"/>
  <c r="Z34" i="12" s="1"/>
  <c r="AA34" i="12" s="1"/>
  <c r="AB34" i="12" s="1"/>
  <c r="AC34" i="12" s="1"/>
  <c r="AD34" i="12" s="1"/>
  <c r="AE34" i="12" s="1"/>
  <c r="AF34" i="12" s="1"/>
  <c r="S30" i="12"/>
  <c r="R30" i="12"/>
  <c r="Q30" i="12"/>
  <c r="Q44" i="12" s="1"/>
  <c r="P30" i="12"/>
  <c r="P29" i="12" s="1"/>
  <c r="O30" i="12"/>
  <c r="O29" i="12" s="1"/>
  <c r="N30" i="12"/>
  <c r="N29" i="12" s="1"/>
  <c r="M30" i="12"/>
  <c r="M29" i="12" s="1"/>
  <c r="L30" i="12"/>
  <c r="L29" i="12" s="1"/>
  <c r="K30" i="12"/>
  <c r="K29" i="12" s="1"/>
  <c r="J30" i="12"/>
  <c r="J29" i="12" s="1"/>
  <c r="I30" i="12"/>
  <c r="I29" i="12" s="1"/>
  <c r="H30" i="12"/>
  <c r="F30" i="12"/>
  <c r="E30" i="12"/>
  <c r="D30" i="12"/>
  <c r="D29" i="12" s="1"/>
  <c r="C30" i="12"/>
  <c r="C29" i="12" s="1"/>
  <c r="S29" i="12"/>
  <c r="R29" i="12"/>
  <c r="B27" i="12"/>
  <c r="B40" i="12" s="1"/>
  <c r="S45" i="11"/>
  <c r="R45" i="11"/>
  <c r="Q45" i="11"/>
  <c r="P45" i="11"/>
  <c r="O45" i="11"/>
  <c r="N45" i="11"/>
  <c r="M45" i="11"/>
  <c r="L45" i="11"/>
  <c r="K45" i="11"/>
  <c r="J45" i="11"/>
  <c r="I45" i="11"/>
  <c r="H45" i="11"/>
  <c r="F45" i="11"/>
  <c r="E45" i="11"/>
  <c r="D45" i="11"/>
  <c r="C45" i="11"/>
  <c r="B42" i="11"/>
  <c r="S30" i="11"/>
  <c r="R30" i="11"/>
  <c r="Q30" i="11"/>
  <c r="P30" i="11"/>
  <c r="O30" i="11"/>
  <c r="O29" i="11" s="1"/>
  <c r="N30" i="11"/>
  <c r="N29" i="11" s="1"/>
  <c r="M30" i="11"/>
  <c r="M29" i="11" s="1"/>
  <c r="L30" i="11"/>
  <c r="L29" i="11" s="1"/>
  <c r="K30" i="11"/>
  <c r="K29" i="11" s="1"/>
  <c r="J30" i="11"/>
  <c r="J29" i="11" s="1"/>
  <c r="I30" i="11"/>
  <c r="I29" i="11" s="1"/>
  <c r="H30" i="11"/>
  <c r="H44" i="11" s="1"/>
  <c r="F30" i="11"/>
  <c r="E30" i="11"/>
  <c r="D30" i="11"/>
  <c r="C30" i="11"/>
  <c r="B30" i="11"/>
  <c r="B29" i="11" s="1"/>
  <c r="B27" i="11"/>
  <c r="B40" i="11" s="1"/>
  <c r="S45" i="7"/>
  <c r="R45" i="7"/>
  <c r="Q45" i="7"/>
  <c r="P45" i="7"/>
  <c r="O45" i="7"/>
  <c r="N45" i="7"/>
  <c r="M45" i="7"/>
  <c r="L45" i="7"/>
  <c r="K45" i="7"/>
  <c r="J45" i="7"/>
  <c r="I45" i="7"/>
  <c r="H45" i="7"/>
  <c r="F45" i="7"/>
  <c r="E45" i="7"/>
  <c r="D45" i="7"/>
  <c r="C45" i="7"/>
  <c r="B42" i="7"/>
  <c r="S30" i="7"/>
  <c r="R30" i="7"/>
  <c r="R29" i="7" s="1"/>
  <c r="Q30" i="7"/>
  <c r="Q29" i="7" s="1"/>
  <c r="P30" i="7"/>
  <c r="O30" i="7"/>
  <c r="N30" i="7"/>
  <c r="N29" i="7" s="1"/>
  <c r="M30" i="7"/>
  <c r="M29" i="7" s="1"/>
  <c r="L30" i="7"/>
  <c r="L29" i="7" s="1"/>
  <c r="K30" i="7"/>
  <c r="K44" i="7" s="1"/>
  <c r="J30" i="7"/>
  <c r="J44" i="7" s="1"/>
  <c r="I30" i="7"/>
  <c r="I44" i="7" s="1"/>
  <c r="H30" i="7"/>
  <c r="H44" i="7" s="1"/>
  <c r="F30" i="7"/>
  <c r="F44" i="7" s="1"/>
  <c r="E30" i="7"/>
  <c r="E29" i="7" s="1"/>
  <c r="D30" i="7"/>
  <c r="D44" i="7" s="1"/>
  <c r="C30" i="7"/>
  <c r="C29" i="7" s="1"/>
  <c r="B30" i="7"/>
  <c r="J29" i="7"/>
  <c r="S45" i="9"/>
  <c r="R45" i="9"/>
  <c r="Q45" i="9"/>
  <c r="P45" i="9"/>
  <c r="O45" i="9"/>
  <c r="N45" i="9"/>
  <c r="M45" i="9"/>
  <c r="L45" i="9"/>
  <c r="K45" i="9"/>
  <c r="J45" i="9"/>
  <c r="I45" i="9"/>
  <c r="H45" i="9"/>
  <c r="F45" i="9"/>
  <c r="E45" i="9"/>
  <c r="D45" i="9"/>
  <c r="C45" i="9"/>
  <c r="B42" i="9"/>
  <c r="S30" i="9"/>
  <c r="R30" i="9"/>
  <c r="R29" i="9" s="1"/>
  <c r="Q30" i="9"/>
  <c r="P30" i="9"/>
  <c r="O30" i="9"/>
  <c r="O29" i="9" s="1"/>
  <c r="N30" i="9"/>
  <c r="N29" i="9" s="1"/>
  <c r="M30" i="9"/>
  <c r="M29" i="9" s="1"/>
  <c r="L30" i="9"/>
  <c r="K30" i="9"/>
  <c r="J30" i="9"/>
  <c r="J29" i="9" s="1"/>
  <c r="I30" i="9"/>
  <c r="I44" i="9" s="1"/>
  <c r="H30" i="9"/>
  <c r="H44" i="9" s="1"/>
  <c r="F30" i="9"/>
  <c r="F29" i="9" s="1"/>
  <c r="E30" i="9"/>
  <c r="D30" i="9"/>
  <c r="D29" i="9" s="1"/>
  <c r="C30" i="9"/>
  <c r="B30" i="9"/>
  <c r="B29" i="9" s="1"/>
  <c r="B27" i="9"/>
  <c r="B40" i="9" s="1"/>
  <c r="S45" i="8"/>
  <c r="R45" i="8"/>
  <c r="Q45" i="8"/>
  <c r="P45" i="8"/>
  <c r="O45" i="8"/>
  <c r="N45" i="8"/>
  <c r="M45" i="8"/>
  <c r="L45" i="8"/>
  <c r="K45" i="8"/>
  <c r="J45" i="8"/>
  <c r="I45" i="8"/>
  <c r="H45" i="8"/>
  <c r="F45" i="8"/>
  <c r="E45" i="8"/>
  <c r="D45" i="8"/>
  <c r="C45" i="8"/>
  <c r="B42" i="8"/>
  <c r="S30" i="8"/>
  <c r="R30" i="8"/>
  <c r="Q30" i="8"/>
  <c r="P30" i="8"/>
  <c r="O30" i="8"/>
  <c r="O29" i="8" s="1"/>
  <c r="N30" i="8"/>
  <c r="N29" i="8" s="1"/>
  <c r="M30" i="8"/>
  <c r="M29" i="8" s="1"/>
  <c r="L30" i="8"/>
  <c r="L29" i="8" s="1"/>
  <c r="K30" i="8"/>
  <c r="K29" i="8" s="1"/>
  <c r="J30" i="8"/>
  <c r="J44" i="8" s="1"/>
  <c r="I30" i="8"/>
  <c r="I44" i="8" s="1"/>
  <c r="H30" i="8"/>
  <c r="H44" i="8" s="1"/>
  <c r="F30" i="8"/>
  <c r="F29" i="8" s="1"/>
  <c r="E30" i="8"/>
  <c r="E29" i="8" s="1"/>
  <c r="D30" i="8"/>
  <c r="D29" i="8" s="1"/>
  <c r="C30" i="8"/>
  <c r="C29" i="8" s="1"/>
  <c r="B30" i="8"/>
  <c r="B29" i="8" s="1"/>
  <c r="B27" i="8"/>
  <c r="B40" i="8" s="1"/>
  <c r="S45" i="10"/>
  <c r="R45" i="10"/>
  <c r="Q45" i="10"/>
  <c r="P45" i="10"/>
  <c r="O45" i="10"/>
  <c r="N45" i="10"/>
  <c r="M45" i="10"/>
  <c r="L45" i="10"/>
  <c r="K45" i="10"/>
  <c r="J45" i="10"/>
  <c r="I45" i="10"/>
  <c r="H45" i="10"/>
  <c r="F45" i="10"/>
  <c r="E45" i="10"/>
  <c r="D45" i="10"/>
  <c r="C45" i="10"/>
  <c r="B42" i="10"/>
  <c r="S30" i="10"/>
  <c r="S29" i="10" s="1"/>
  <c r="R30" i="10"/>
  <c r="Q30" i="10"/>
  <c r="Q44" i="10" s="1"/>
  <c r="P30" i="10"/>
  <c r="O30" i="10"/>
  <c r="O44" i="10" s="1"/>
  <c r="N30" i="10"/>
  <c r="N29" i="10" s="1"/>
  <c r="M30" i="10"/>
  <c r="M29" i="10" s="1"/>
  <c r="L30" i="10"/>
  <c r="L29" i="10" s="1"/>
  <c r="K30" i="10"/>
  <c r="J30" i="10"/>
  <c r="I30" i="10"/>
  <c r="H30" i="10"/>
  <c r="H44" i="10" s="1"/>
  <c r="F30" i="10"/>
  <c r="F44" i="10" s="1"/>
  <c r="E30" i="10"/>
  <c r="E44" i="10" s="1"/>
  <c r="D30" i="10"/>
  <c r="D44" i="10" s="1"/>
  <c r="C30" i="10"/>
  <c r="C44" i="10" s="1"/>
  <c r="B30" i="10"/>
  <c r="B29" i="10" s="1"/>
  <c r="B27" i="10"/>
  <c r="B40" i="10" s="1"/>
  <c r="C5" i="7"/>
  <c r="D5" i="7"/>
  <c r="D19" i="7" s="1"/>
  <c r="E5" i="7"/>
  <c r="E19" i="7" s="1"/>
  <c r="F5" i="7"/>
  <c r="F19" i="7" s="1"/>
  <c r="H5" i="7"/>
  <c r="I5" i="7"/>
  <c r="J5" i="7"/>
  <c r="K5" i="7"/>
  <c r="L5" i="7"/>
  <c r="M5" i="7"/>
  <c r="N5" i="7"/>
  <c r="O5" i="7"/>
  <c r="P5" i="7"/>
  <c r="Q5" i="7"/>
  <c r="R5" i="7"/>
  <c r="S5" i="7"/>
  <c r="B5" i="7"/>
  <c r="S20" i="7"/>
  <c r="R20" i="7"/>
  <c r="Q20" i="7"/>
  <c r="P20" i="7"/>
  <c r="O20" i="7"/>
  <c r="N20" i="7"/>
  <c r="M20" i="7"/>
  <c r="L20" i="7"/>
  <c r="K20" i="7"/>
  <c r="J20" i="7"/>
  <c r="I20" i="7"/>
  <c r="H20" i="7"/>
  <c r="F20" i="7"/>
  <c r="E20" i="7"/>
  <c r="D20" i="7"/>
  <c r="C20" i="7"/>
  <c r="S20" i="9"/>
  <c r="R20" i="9"/>
  <c r="Q20" i="9"/>
  <c r="P20" i="9"/>
  <c r="O20" i="9"/>
  <c r="N20" i="9"/>
  <c r="M20" i="9"/>
  <c r="L20" i="9"/>
  <c r="K20" i="9"/>
  <c r="J20" i="9"/>
  <c r="I20" i="9"/>
  <c r="H20" i="9"/>
  <c r="F20" i="9"/>
  <c r="E20" i="9"/>
  <c r="D20" i="9"/>
  <c r="C20" i="9"/>
  <c r="S20" i="8"/>
  <c r="R20" i="8"/>
  <c r="Q20" i="8"/>
  <c r="P20" i="8"/>
  <c r="O20" i="8"/>
  <c r="N20" i="8"/>
  <c r="M20" i="8"/>
  <c r="L20" i="8"/>
  <c r="K20" i="8"/>
  <c r="J20" i="8"/>
  <c r="I20" i="8"/>
  <c r="H20" i="8"/>
  <c r="F20" i="8"/>
  <c r="E20" i="8"/>
  <c r="D20" i="8"/>
  <c r="C20" i="8"/>
  <c r="C5" i="9"/>
  <c r="C4" i="9" s="1"/>
  <c r="D5" i="9"/>
  <c r="E5" i="9"/>
  <c r="F5" i="9"/>
  <c r="H5" i="9"/>
  <c r="H19" i="9" s="1"/>
  <c r="I5" i="9"/>
  <c r="I19" i="9" s="1"/>
  <c r="J5" i="9"/>
  <c r="J19" i="9" s="1"/>
  <c r="K5" i="9"/>
  <c r="L5" i="9"/>
  <c r="M5" i="9"/>
  <c r="N5" i="9"/>
  <c r="O5" i="9"/>
  <c r="P5" i="9"/>
  <c r="Q5" i="9"/>
  <c r="R5" i="9"/>
  <c r="S5" i="9"/>
  <c r="B5" i="9"/>
  <c r="B4" i="9" s="1"/>
  <c r="I45" i="16" l="1"/>
  <c r="J45" i="16"/>
  <c r="K45" i="16"/>
  <c r="L45" i="16"/>
  <c r="C19" i="7"/>
  <c r="E44" i="12"/>
  <c r="M45" i="16"/>
  <c r="N45" i="16"/>
  <c r="N44" i="16" s="1"/>
  <c r="H44" i="12"/>
  <c r="O45" i="16"/>
  <c r="F44" i="14"/>
  <c r="C45" i="16"/>
  <c r="C44" i="16" s="1"/>
  <c r="P45" i="16"/>
  <c r="P44" i="16" s="1"/>
  <c r="H29" i="12"/>
  <c r="F19" i="9"/>
  <c r="D45" i="16"/>
  <c r="Q45" i="16"/>
  <c r="K19" i="7"/>
  <c r="J44" i="12"/>
  <c r="E45" i="16"/>
  <c r="R45" i="16"/>
  <c r="R44" i="16" s="1"/>
  <c r="F45" i="16"/>
  <c r="F44" i="16" s="1"/>
  <c r="H19" i="7"/>
  <c r="F44" i="12"/>
  <c r="J19" i="7"/>
  <c r="I19" i="7"/>
  <c r="Q29" i="12"/>
  <c r="H45" i="16"/>
  <c r="S19" i="7"/>
  <c r="U9" i="20"/>
  <c r="S19" i="9"/>
  <c r="S45" i="16"/>
  <c r="S44" i="16" s="1"/>
  <c r="AE34" i="10"/>
  <c r="AF9" i="10"/>
  <c r="AD34" i="11"/>
  <c r="AE9" i="11"/>
  <c r="F29" i="7"/>
  <c r="C44" i="9"/>
  <c r="C29" i="9"/>
  <c r="B27" i="7"/>
  <c r="B40" i="7" s="1"/>
  <c r="B29" i="7"/>
  <c r="B2" i="7"/>
  <c r="B4" i="7"/>
  <c r="E19" i="9"/>
  <c r="E4" i="9"/>
  <c r="D19" i="9"/>
  <c r="D4" i="9"/>
  <c r="E44" i="9"/>
  <c r="E29" i="9"/>
  <c r="D29" i="7"/>
  <c r="S44" i="15"/>
  <c r="S44" i="8"/>
  <c r="R44" i="8"/>
  <c r="S44" i="9"/>
  <c r="R19" i="9"/>
  <c r="R44" i="10"/>
  <c r="R44" i="14"/>
  <c r="S44" i="7"/>
  <c r="R44" i="7"/>
  <c r="R19" i="7"/>
  <c r="S44" i="12"/>
  <c r="R44" i="12"/>
  <c r="S44" i="13"/>
  <c r="R44" i="13"/>
  <c r="Q44" i="7"/>
  <c r="Q19" i="7"/>
  <c r="S29" i="13"/>
  <c r="N44" i="13"/>
  <c r="F44" i="13"/>
  <c r="H44" i="13"/>
  <c r="H44" i="16"/>
  <c r="Q44" i="8"/>
  <c r="Q44" i="9"/>
  <c r="Q19" i="9"/>
  <c r="Q44" i="14"/>
  <c r="E44" i="14"/>
  <c r="K44" i="16"/>
  <c r="C44" i="14"/>
  <c r="S44" i="14"/>
  <c r="Q44" i="11"/>
  <c r="Q29" i="11"/>
  <c r="Q29" i="10"/>
  <c r="P44" i="8"/>
  <c r="P19" i="9"/>
  <c r="P44" i="10"/>
  <c r="P44" i="11"/>
  <c r="P19" i="7"/>
  <c r="O19" i="9"/>
  <c r="Q44" i="16"/>
  <c r="P44" i="7"/>
  <c r="O44" i="16"/>
  <c r="O44" i="7"/>
  <c r="O19" i="7"/>
  <c r="O29" i="7"/>
  <c r="O44" i="13"/>
  <c r="N19" i="9"/>
  <c r="N44" i="14"/>
  <c r="N19" i="7"/>
  <c r="N29" i="14"/>
  <c r="M19" i="9"/>
  <c r="M44" i="16"/>
  <c r="L44" i="16"/>
  <c r="M19" i="7"/>
  <c r="L44" i="13"/>
  <c r="N29" i="13"/>
  <c r="S44" i="10"/>
  <c r="J44" i="9"/>
  <c r="S29" i="8"/>
  <c r="F44" i="11"/>
  <c r="F29" i="11"/>
  <c r="E44" i="11"/>
  <c r="N44" i="11"/>
  <c r="F29" i="12"/>
  <c r="K44" i="12"/>
  <c r="L44" i="10"/>
  <c r="C44" i="8"/>
  <c r="R44" i="9"/>
  <c r="P29" i="11"/>
  <c r="C29" i="13"/>
  <c r="H29" i="8"/>
  <c r="R29" i="11"/>
  <c r="R44" i="11"/>
  <c r="O29" i="10"/>
  <c r="I29" i="9"/>
  <c r="H29" i="11"/>
  <c r="S29" i="11"/>
  <c r="S44" i="11"/>
  <c r="K44" i="13"/>
  <c r="M44" i="14"/>
  <c r="P29" i="8"/>
  <c r="Q29" i="9"/>
  <c r="H29" i="13"/>
  <c r="B27" i="15"/>
  <c r="B40" i="15" s="1"/>
  <c r="B29" i="15"/>
  <c r="I44" i="15"/>
  <c r="Q44" i="15"/>
  <c r="P44" i="9"/>
  <c r="N44" i="10"/>
  <c r="L44" i="14"/>
  <c r="L44" i="15"/>
  <c r="K44" i="9"/>
  <c r="D44" i="12"/>
  <c r="M44" i="7"/>
  <c r="L19" i="7"/>
  <c r="L44" i="9"/>
  <c r="L44" i="8"/>
  <c r="I44" i="10"/>
  <c r="D44" i="13"/>
  <c r="D44" i="16"/>
  <c r="C44" i="15"/>
  <c r="K19" i="9"/>
  <c r="I44" i="12"/>
  <c r="K44" i="8"/>
  <c r="J44" i="10"/>
  <c r="K44" i="10"/>
  <c r="I44" i="11"/>
  <c r="K44" i="11"/>
  <c r="M44" i="12"/>
  <c r="N44" i="12"/>
  <c r="O44" i="12"/>
  <c r="P44" i="12"/>
  <c r="P44" i="13"/>
  <c r="Q44" i="13"/>
  <c r="M44" i="13"/>
  <c r="J44" i="13"/>
  <c r="I44" i="13"/>
  <c r="O44" i="14"/>
  <c r="K44" i="14"/>
  <c r="J44" i="14"/>
  <c r="J44" i="16"/>
  <c r="I44" i="14"/>
  <c r="I44" i="16"/>
  <c r="F44" i="15"/>
  <c r="O44" i="15"/>
  <c r="J44" i="15"/>
  <c r="I29" i="13"/>
  <c r="D44" i="9"/>
  <c r="M44" i="9"/>
  <c r="S29" i="14"/>
  <c r="F29" i="15"/>
  <c r="K44" i="15"/>
  <c r="R29" i="8"/>
  <c r="H29" i="9"/>
  <c r="S29" i="9"/>
  <c r="C44" i="7"/>
  <c r="L44" i="7"/>
  <c r="C44" i="12"/>
  <c r="L44" i="12"/>
  <c r="N44" i="8"/>
  <c r="L44" i="11"/>
  <c r="E44" i="8"/>
  <c r="C44" i="11"/>
  <c r="I29" i="7"/>
  <c r="D44" i="11"/>
  <c r="M44" i="11"/>
  <c r="C29" i="14"/>
  <c r="D44" i="14"/>
  <c r="O29" i="15"/>
  <c r="K29" i="10"/>
  <c r="J29" i="8"/>
  <c r="K29" i="9"/>
  <c r="E44" i="13"/>
  <c r="D44" i="15"/>
  <c r="M44" i="15"/>
  <c r="O44" i="11"/>
  <c r="P29" i="9"/>
  <c r="Q29" i="14"/>
  <c r="J29" i="15"/>
  <c r="R29" i="15"/>
  <c r="E44" i="15"/>
  <c r="N44" i="15"/>
  <c r="C29" i="15"/>
  <c r="L29" i="15"/>
  <c r="H44" i="15"/>
  <c r="P44" i="15"/>
  <c r="C34" i="15"/>
  <c r="C34" i="16" s="1"/>
  <c r="H44" i="14"/>
  <c r="P44" i="14"/>
  <c r="C34" i="14"/>
  <c r="E29" i="12"/>
  <c r="J44" i="11"/>
  <c r="H29" i="7"/>
  <c r="P29" i="7"/>
  <c r="E44" i="7"/>
  <c r="N44" i="7"/>
  <c r="K29" i="7"/>
  <c r="S29" i="7"/>
  <c r="N44" i="9"/>
  <c r="F44" i="9"/>
  <c r="O44" i="9"/>
  <c r="L29" i="9"/>
  <c r="I29" i="8"/>
  <c r="Q29" i="8"/>
  <c r="D44" i="8"/>
  <c r="M44" i="8"/>
  <c r="F44" i="8"/>
  <c r="O44" i="8"/>
  <c r="P29" i="10"/>
  <c r="M44" i="10"/>
  <c r="J29" i="10"/>
  <c r="R29" i="10"/>
  <c r="C19" i="9"/>
  <c r="L19" i="9"/>
  <c r="C5" i="8"/>
  <c r="C19" i="8" s="1"/>
  <c r="D5" i="8"/>
  <c r="D19" i="8" s="1"/>
  <c r="E5" i="8"/>
  <c r="E19" i="8" s="1"/>
  <c r="F5" i="8"/>
  <c r="F19" i="8" s="1"/>
  <c r="H5" i="8"/>
  <c r="H19" i="8" s="1"/>
  <c r="I5" i="8"/>
  <c r="I19" i="8" s="1"/>
  <c r="J5" i="8"/>
  <c r="J19" i="8" s="1"/>
  <c r="K5" i="8"/>
  <c r="K19" i="8" s="1"/>
  <c r="L5" i="8"/>
  <c r="L19" i="8" s="1"/>
  <c r="M5" i="8"/>
  <c r="M19" i="8" s="1"/>
  <c r="N5" i="8"/>
  <c r="N19" i="8" s="1"/>
  <c r="O5" i="8"/>
  <c r="O19" i="8" s="1"/>
  <c r="P5" i="8"/>
  <c r="P19" i="8" s="1"/>
  <c r="Q5" i="8"/>
  <c r="Q19" i="8" s="1"/>
  <c r="R5" i="8"/>
  <c r="R19" i="8" s="1"/>
  <c r="S5" i="8"/>
  <c r="S19" i="8" s="1"/>
  <c r="B5" i="8"/>
  <c r="B4" i="8" s="1"/>
  <c r="C5" i="10"/>
  <c r="D5" i="10"/>
  <c r="E5" i="10"/>
  <c r="F5" i="10"/>
  <c r="H5" i="10"/>
  <c r="I5" i="10"/>
  <c r="J5" i="10"/>
  <c r="K5" i="10"/>
  <c r="L5" i="10"/>
  <c r="M5" i="10"/>
  <c r="N5" i="10"/>
  <c r="O5" i="10"/>
  <c r="P5" i="10"/>
  <c r="Q5" i="10"/>
  <c r="R5" i="10"/>
  <c r="S5" i="10"/>
  <c r="B5" i="10"/>
  <c r="B4" i="10" s="1"/>
  <c r="C5" i="11"/>
  <c r="D5" i="11"/>
  <c r="E5" i="11"/>
  <c r="F5" i="11"/>
  <c r="F4" i="11" s="1"/>
  <c r="H5" i="11"/>
  <c r="I5" i="11"/>
  <c r="J5" i="11"/>
  <c r="K5" i="11"/>
  <c r="L5" i="11"/>
  <c r="M5" i="11"/>
  <c r="N5" i="11"/>
  <c r="O5" i="11"/>
  <c r="P5" i="11"/>
  <c r="Q5" i="11"/>
  <c r="R5" i="11"/>
  <c r="S5" i="11"/>
  <c r="B5" i="11"/>
  <c r="B4" i="11" s="1"/>
  <c r="D5" i="12"/>
  <c r="E5" i="12"/>
  <c r="F5" i="12"/>
  <c r="H5" i="12"/>
  <c r="I5" i="12"/>
  <c r="J5" i="12"/>
  <c r="K5" i="12"/>
  <c r="L5" i="12"/>
  <c r="M5" i="12"/>
  <c r="N5" i="12"/>
  <c r="O5" i="12"/>
  <c r="P5" i="12"/>
  <c r="Q5" i="12"/>
  <c r="R5" i="12"/>
  <c r="S5" i="12"/>
  <c r="C5" i="12"/>
  <c r="D5" i="13"/>
  <c r="E5" i="13"/>
  <c r="F5" i="13"/>
  <c r="H5" i="13"/>
  <c r="I5" i="13"/>
  <c r="J5" i="13"/>
  <c r="K5" i="13"/>
  <c r="L5" i="13"/>
  <c r="M5" i="13"/>
  <c r="N5" i="13"/>
  <c r="O5" i="13"/>
  <c r="P5" i="13"/>
  <c r="Q5" i="13"/>
  <c r="R5" i="13"/>
  <c r="S5" i="13"/>
  <c r="C5" i="13"/>
  <c r="D5" i="14"/>
  <c r="E5" i="14"/>
  <c r="F5" i="14"/>
  <c r="H5" i="14"/>
  <c r="I5" i="14"/>
  <c r="J5" i="14"/>
  <c r="K5" i="14"/>
  <c r="L5" i="14"/>
  <c r="M5" i="14"/>
  <c r="N5" i="14"/>
  <c r="O5" i="14"/>
  <c r="P5" i="14"/>
  <c r="Q5" i="14"/>
  <c r="R5" i="14"/>
  <c r="S5" i="14"/>
  <c r="C5" i="14"/>
  <c r="C5" i="15"/>
  <c r="D5" i="15"/>
  <c r="E5" i="15"/>
  <c r="F5" i="15"/>
  <c r="H5" i="15"/>
  <c r="I5" i="15"/>
  <c r="J5" i="15"/>
  <c r="K5" i="15"/>
  <c r="L5" i="15"/>
  <c r="M5" i="15"/>
  <c r="N5" i="15"/>
  <c r="O5" i="15"/>
  <c r="P5" i="15"/>
  <c r="Q5" i="15"/>
  <c r="R5" i="15"/>
  <c r="S5" i="15"/>
  <c r="U34" i="20" l="1"/>
  <c r="AF34" i="10"/>
  <c r="AE34" i="11"/>
  <c r="AF9" i="11"/>
  <c r="D34" i="14"/>
  <c r="D34" i="15"/>
  <c r="G45" i="16"/>
  <c r="T45" i="16" s="1"/>
  <c r="AG45" i="16" s="1"/>
  <c r="E44" i="16"/>
  <c r="G44" i="16" s="1"/>
  <c r="T44" i="16" s="1"/>
  <c r="AG44" i="16" s="1"/>
  <c r="B2" i="16"/>
  <c r="B4" i="16"/>
  <c r="C4" i="16"/>
  <c r="D4" i="16"/>
  <c r="E4" i="16"/>
  <c r="F4" i="16"/>
  <c r="H4" i="16"/>
  <c r="I4" i="16"/>
  <c r="J4" i="16"/>
  <c r="K4" i="16"/>
  <c r="L4" i="16"/>
  <c r="M4" i="16"/>
  <c r="N4" i="16"/>
  <c r="O4" i="16"/>
  <c r="P4" i="16"/>
  <c r="Q4" i="16"/>
  <c r="R4" i="16"/>
  <c r="S4" i="16"/>
  <c r="D34" i="16" l="1"/>
  <c r="V34" i="20"/>
  <c r="V9" i="20"/>
  <c r="AF34" i="11"/>
  <c r="E34" i="14"/>
  <c r="E34" i="15"/>
  <c r="E34" i="16" s="1"/>
  <c r="S22" i="9"/>
  <c r="AF22" i="9" s="1"/>
  <c r="W9" i="20" l="1"/>
  <c r="W34" i="20"/>
  <c r="F34" i="14"/>
  <c r="F34" i="15"/>
  <c r="S20" i="15"/>
  <c r="R20" i="15"/>
  <c r="Q20" i="15"/>
  <c r="P20" i="15"/>
  <c r="O20" i="15"/>
  <c r="N20" i="15"/>
  <c r="N20" i="16" s="1"/>
  <c r="M20" i="15"/>
  <c r="L20" i="15"/>
  <c r="K20" i="15"/>
  <c r="J20" i="15"/>
  <c r="I20" i="15"/>
  <c r="H20" i="15"/>
  <c r="F20" i="15"/>
  <c r="E20" i="15"/>
  <c r="D20" i="15"/>
  <c r="C20" i="15"/>
  <c r="B9" i="15"/>
  <c r="R4" i="15"/>
  <c r="P4" i="15"/>
  <c r="O4" i="15"/>
  <c r="M4" i="15"/>
  <c r="L4" i="15"/>
  <c r="J19" i="15"/>
  <c r="H4" i="15"/>
  <c r="F4" i="15"/>
  <c r="E4" i="15"/>
  <c r="D4" i="15"/>
  <c r="C4" i="15"/>
  <c r="B2" i="15"/>
  <c r="B15" i="15" s="1"/>
  <c r="S20" i="14"/>
  <c r="R20" i="14"/>
  <c r="Q20" i="14"/>
  <c r="P20" i="14"/>
  <c r="O20" i="14"/>
  <c r="N20" i="14"/>
  <c r="M20" i="14"/>
  <c r="L20" i="14"/>
  <c r="K20" i="14"/>
  <c r="J20" i="14"/>
  <c r="I20" i="14"/>
  <c r="H20" i="14"/>
  <c r="F20" i="14"/>
  <c r="E20" i="14"/>
  <c r="D20" i="14"/>
  <c r="C20" i="14"/>
  <c r="B9" i="14"/>
  <c r="L4" i="14"/>
  <c r="K4" i="14"/>
  <c r="I4" i="14"/>
  <c r="F4" i="14"/>
  <c r="E4" i="14"/>
  <c r="S4" i="14"/>
  <c r="R4" i="14"/>
  <c r="Q4" i="14"/>
  <c r="P4" i="14"/>
  <c r="O4" i="14"/>
  <c r="N4" i="14"/>
  <c r="M4" i="14"/>
  <c r="J4" i="14"/>
  <c r="H4" i="14"/>
  <c r="D4" i="14"/>
  <c r="B2" i="14"/>
  <c r="B15" i="14" s="1"/>
  <c r="S20" i="13"/>
  <c r="S19" i="13" s="1"/>
  <c r="R20" i="13"/>
  <c r="R19" i="13" s="1"/>
  <c r="Q20" i="13"/>
  <c r="Q19" i="13" s="1"/>
  <c r="P20" i="13"/>
  <c r="P19" i="13" s="1"/>
  <c r="O20" i="13"/>
  <c r="O19" i="13" s="1"/>
  <c r="N20" i="13"/>
  <c r="N19" i="13" s="1"/>
  <c r="M20" i="13"/>
  <c r="L20" i="13"/>
  <c r="K20" i="13"/>
  <c r="K19" i="13" s="1"/>
  <c r="J20" i="13"/>
  <c r="J19" i="13" s="1"/>
  <c r="I20" i="13"/>
  <c r="I19" i="13" s="1"/>
  <c r="H20" i="13"/>
  <c r="H19" i="13" s="1"/>
  <c r="F20" i="13"/>
  <c r="F19" i="13" s="1"/>
  <c r="E20" i="13"/>
  <c r="E19" i="13" s="1"/>
  <c r="D20" i="13"/>
  <c r="D19" i="13" s="1"/>
  <c r="C20" i="13"/>
  <c r="C19" i="13" s="1"/>
  <c r="B17" i="13"/>
  <c r="C9" i="13"/>
  <c r="D9" i="13" s="1"/>
  <c r="E9" i="13" s="1"/>
  <c r="F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S4" i="13"/>
  <c r="O4" i="13"/>
  <c r="N4" i="13"/>
  <c r="M4" i="13"/>
  <c r="L4" i="13"/>
  <c r="K4" i="13"/>
  <c r="J4" i="13"/>
  <c r="I4" i="13"/>
  <c r="H4" i="13"/>
  <c r="F4" i="13"/>
  <c r="E4" i="13"/>
  <c r="C4" i="13"/>
  <c r="R4" i="13"/>
  <c r="Q4" i="13"/>
  <c r="P4" i="13"/>
  <c r="D4" i="13"/>
  <c r="B2" i="13"/>
  <c r="B15" i="13" s="1"/>
  <c r="S20" i="12"/>
  <c r="R20" i="12"/>
  <c r="Q20" i="12"/>
  <c r="Q19" i="12" s="1"/>
  <c r="P20" i="12"/>
  <c r="O20" i="12"/>
  <c r="N20" i="12"/>
  <c r="M20" i="12"/>
  <c r="L20" i="12"/>
  <c r="K20" i="12"/>
  <c r="J20" i="12"/>
  <c r="I20" i="12"/>
  <c r="I19" i="12" s="1"/>
  <c r="H20" i="12"/>
  <c r="F20" i="12"/>
  <c r="E20" i="12"/>
  <c r="D20" i="12"/>
  <c r="C20" i="12"/>
  <c r="B17" i="12"/>
  <c r="E9" i="12"/>
  <c r="F9" i="12" s="1"/>
  <c r="H9" i="12" s="1"/>
  <c r="I9" i="12" s="1"/>
  <c r="J9" i="12" s="1"/>
  <c r="K9" i="12" s="1"/>
  <c r="L9" i="12" s="1"/>
  <c r="M9" i="12" s="1"/>
  <c r="N9" i="12" s="1"/>
  <c r="O9" i="12" s="1"/>
  <c r="P9" i="12" s="1"/>
  <c r="Q9" i="12" s="1"/>
  <c r="R9" i="12" s="1"/>
  <c r="S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O4" i="12"/>
  <c r="M4" i="12"/>
  <c r="H4" i="12"/>
  <c r="S4" i="12"/>
  <c r="Q4" i="12"/>
  <c r="P4" i="12"/>
  <c r="N4" i="12"/>
  <c r="E4" i="12"/>
  <c r="B2" i="12"/>
  <c r="B15" i="12" s="1"/>
  <c r="S20" i="11"/>
  <c r="S19" i="11" s="1"/>
  <c r="R20" i="11"/>
  <c r="R19" i="11" s="1"/>
  <c r="Q20" i="11"/>
  <c r="Q19" i="11" s="1"/>
  <c r="P20" i="11"/>
  <c r="P19" i="11" s="1"/>
  <c r="O20" i="11"/>
  <c r="O19" i="11" s="1"/>
  <c r="N20" i="11"/>
  <c r="N19" i="11" s="1"/>
  <c r="M20" i="11"/>
  <c r="M19" i="11" s="1"/>
  <c r="L20" i="11"/>
  <c r="K20" i="11"/>
  <c r="J20" i="11"/>
  <c r="I20" i="11"/>
  <c r="H20" i="11"/>
  <c r="F20" i="11"/>
  <c r="E20" i="11"/>
  <c r="D20" i="11"/>
  <c r="C20" i="11"/>
  <c r="B17" i="11"/>
  <c r="S4" i="11"/>
  <c r="R4" i="11"/>
  <c r="N4" i="11"/>
  <c r="M4" i="11"/>
  <c r="L4" i="11"/>
  <c r="K4" i="11"/>
  <c r="J4" i="11"/>
  <c r="I4" i="11"/>
  <c r="Q4" i="11"/>
  <c r="P4" i="11"/>
  <c r="H4" i="11"/>
  <c r="B2" i="11"/>
  <c r="B15" i="11" s="1"/>
  <c r="S20" i="10"/>
  <c r="R20" i="10"/>
  <c r="Q20" i="10"/>
  <c r="P20" i="10"/>
  <c r="O20" i="10"/>
  <c r="N20" i="10"/>
  <c r="M20" i="10"/>
  <c r="L20" i="10"/>
  <c r="K20" i="10"/>
  <c r="J20" i="10"/>
  <c r="I20" i="10"/>
  <c r="H20" i="10"/>
  <c r="F20" i="10"/>
  <c r="E20" i="10"/>
  <c r="D20" i="10"/>
  <c r="C20" i="10"/>
  <c r="B17" i="10"/>
  <c r="S4" i="10"/>
  <c r="R4" i="10"/>
  <c r="Q4" i="10"/>
  <c r="P4" i="10"/>
  <c r="O4" i="10"/>
  <c r="N4" i="10"/>
  <c r="K4" i="10"/>
  <c r="J4" i="10"/>
  <c r="B2" i="10"/>
  <c r="B15" i="10" s="1"/>
  <c r="B17" i="9"/>
  <c r="S4" i="9"/>
  <c r="M4" i="9"/>
  <c r="L4" i="9"/>
  <c r="K4" i="9"/>
  <c r="I4" i="9"/>
  <c r="R4" i="9"/>
  <c r="Q4" i="9"/>
  <c r="P4" i="9"/>
  <c r="O4" i="9"/>
  <c r="B2" i="9"/>
  <c r="B15" i="9" s="1"/>
  <c r="B17" i="8"/>
  <c r="S4" i="8"/>
  <c r="R4" i="8"/>
  <c r="Q4" i="8"/>
  <c r="P4" i="8"/>
  <c r="O4" i="8"/>
  <c r="N4" i="8"/>
  <c r="M4" i="8"/>
  <c r="L4" i="8"/>
  <c r="K4" i="8"/>
  <c r="J4" i="8"/>
  <c r="I4" i="8"/>
  <c r="H4" i="8"/>
  <c r="F4" i="8"/>
  <c r="E4" i="8"/>
  <c r="D4" i="8"/>
  <c r="C4" i="8"/>
  <c r="B2" i="8"/>
  <c r="B15" i="8" s="1"/>
  <c r="B17" i="7"/>
  <c r="M9" i="7"/>
  <c r="N9" i="7" s="1"/>
  <c r="O9" i="7" s="1"/>
  <c r="P9" i="7" s="1"/>
  <c r="Q9" i="7" s="1"/>
  <c r="R9" i="7" s="1"/>
  <c r="S9" i="7" s="1"/>
  <c r="U9" i="7" s="1"/>
  <c r="V9" i="7" s="1"/>
  <c r="W9" i="7" s="1"/>
  <c r="X9" i="7" s="1"/>
  <c r="Y9" i="7" s="1"/>
  <c r="Z9" i="7" s="1"/>
  <c r="AA9" i="7" s="1"/>
  <c r="AB9" i="7" s="1"/>
  <c r="AC9" i="7" s="1"/>
  <c r="AD9" i="7" s="1"/>
  <c r="AE9" i="7" s="1"/>
  <c r="AF9" i="7" s="1"/>
  <c r="S4" i="7"/>
  <c r="R4" i="7"/>
  <c r="Q4" i="7"/>
  <c r="P4" i="7"/>
  <c r="O4" i="7"/>
  <c r="N4" i="7"/>
  <c r="M4" i="7"/>
  <c r="L4" i="7"/>
  <c r="K4" i="7"/>
  <c r="J4" i="7"/>
  <c r="I4" i="7"/>
  <c r="H4" i="7"/>
  <c r="F4" i="7"/>
  <c r="E4" i="7"/>
  <c r="D4" i="7"/>
  <c r="C4" i="7"/>
  <c r="B15" i="7"/>
  <c r="D20" i="16" l="1"/>
  <c r="Q20" i="16"/>
  <c r="Q19" i="16" s="1"/>
  <c r="R20" i="16"/>
  <c r="R19" i="16" s="1"/>
  <c r="B17" i="15"/>
  <c r="B9" i="16"/>
  <c r="C20" i="16"/>
  <c r="H20" i="16"/>
  <c r="F34" i="16"/>
  <c r="O20" i="16"/>
  <c r="O19" i="16" s="1"/>
  <c r="F20" i="16"/>
  <c r="F19" i="16" s="1"/>
  <c r="P20" i="16"/>
  <c r="P19" i="16" s="1"/>
  <c r="I20" i="16"/>
  <c r="I19" i="16" s="1"/>
  <c r="J20" i="16"/>
  <c r="K19" i="15"/>
  <c r="K20" i="16"/>
  <c r="K19" i="16" s="1"/>
  <c r="L20" i="16"/>
  <c r="E20" i="16"/>
  <c r="M20" i="16"/>
  <c r="M19" i="16" s="1"/>
  <c r="X34" i="20"/>
  <c r="X9" i="20"/>
  <c r="S20" i="16"/>
  <c r="S19" i="16" s="1"/>
  <c r="E19" i="16"/>
  <c r="H19" i="16"/>
  <c r="J19" i="16"/>
  <c r="H34" i="14"/>
  <c r="N19" i="16"/>
  <c r="M19" i="13"/>
  <c r="L19" i="16"/>
  <c r="L19" i="13"/>
  <c r="B17" i="14"/>
  <c r="H34" i="15"/>
  <c r="E19" i="11"/>
  <c r="J19" i="12"/>
  <c r="R19" i="12"/>
  <c r="J9" i="8"/>
  <c r="K9" i="8" s="1"/>
  <c r="L9" i="8" s="1"/>
  <c r="M9" i="8" s="1"/>
  <c r="N9" i="8" s="1"/>
  <c r="O9" i="8" s="1"/>
  <c r="P9" i="8" s="1"/>
  <c r="Q9" i="8" s="1"/>
  <c r="R9" i="8" s="1"/>
  <c r="S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F4" i="9"/>
  <c r="H4" i="9"/>
  <c r="J4" i="9"/>
  <c r="D19" i="10"/>
  <c r="M19" i="10"/>
  <c r="K19" i="10"/>
  <c r="M4" i="10"/>
  <c r="F19" i="10"/>
  <c r="O19" i="10"/>
  <c r="S19" i="10"/>
  <c r="C19" i="10"/>
  <c r="L19" i="10"/>
  <c r="E19" i="10"/>
  <c r="N19" i="10"/>
  <c r="J19" i="10"/>
  <c r="R19" i="10"/>
  <c r="I19" i="10"/>
  <c r="Q19" i="10"/>
  <c r="J19" i="11"/>
  <c r="F19" i="11"/>
  <c r="I19" i="11"/>
  <c r="H19" i="11"/>
  <c r="D19" i="11"/>
  <c r="C19" i="11"/>
  <c r="I4" i="12"/>
  <c r="F19" i="12"/>
  <c r="O19" i="12"/>
  <c r="R4" i="12"/>
  <c r="K19" i="12"/>
  <c r="S19" i="12"/>
  <c r="E19" i="12"/>
  <c r="N19" i="12"/>
  <c r="C19" i="12"/>
  <c r="L19" i="12"/>
  <c r="J4" i="12"/>
  <c r="D19" i="12"/>
  <c r="K4" i="12"/>
  <c r="C4" i="12"/>
  <c r="L4" i="12"/>
  <c r="D4" i="12"/>
  <c r="F4" i="12"/>
  <c r="H19" i="12"/>
  <c r="P19" i="12"/>
  <c r="E19" i="14"/>
  <c r="N19" i="14"/>
  <c r="H19" i="14"/>
  <c r="S19" i="15"/>
  <c r="N19" i="15"/>
  <c r="J4" i="15"/>
  <c r="R19" i="15"/>
  <c r="C19" i="15"/>
  <c r="I19" i="15"/>
  <c r="Q19" i="15"/>
  <c r="P19" i="14"/>
  <c r="J19" i="14"/>
  <c r="R19" i="14"/>
  <c r="K19" i="14"/>
  <c r="S19" i="14"/>
  <c r="C19" i="14"/>
  <c r="L19" i="14"/>
  <c r="D19" i="14"/>
  <c r="M19" i="14"/>
  <c r="I19" i="14"/>
  <c r="F19" i="14"/>
  <c r="O19" i="14"/>
  <c r="Q4" i="15"/>
  <c r="C9" i="15"/>
  <c r="C9" i="16" s="1"/>
  <c r="I4" i="15"/>
  <c r="N4" i="15"/>
  <c r="E19" i="15"/>
  <c r="L19" i="15"/>
  <c r="M19" i="15"/>
  <c r="D19" i="15"/>
  <c r="K4" i="15"/>
  <c r="S4" i="15"/>
  <c r="F19" i="15"/>
  <c r="O19" i="15"/>
  <c r="H19" i="15"/>
  <c r="P19" i="15"/>
  <c r="C4" i="14"/>
  <c r="C9" i="14"/>
  <c r="Q19" i="14"/>
  <c r="M19" i="12"/>
  <c r="K19" i="11"/>
  <c r="O4" i="11"/>
  <c r="L19" i="11"/>
  <c r="H19" i="10"/>
  <c r="P19" i="10"/>
  <c r="L4" i="10"/>
  <c r="N4" i="9"/>
  <c r="H34" i="16" l="1"/>
  <c r="Y9" i="20"/>
  <c r="Y34" i="20"/>
  <c r="G20" i="16"/>
  <c r="T20" i="16" s="1"/>
  <c r="AG20" i="16" s="1"/>
  <c r="D19" i="16"/>
  <c r="I34" i="14"/>
  <c r="I34" i="15"/>
  <c r="I34" i="16" s="1"/>
  <c r="C19" i="16"/>
  <c r="D9" i="15"/>
  <c r="D9" i="16" s="1"/>
  <c r="D9" i="14"/>
  <c r="Z9" i="20" l="1"/>
  <c r="Z34" i="20"/>
  <c r="G19" i="16"/>
  <c r="T19" i="16" s="1"/>
  <c r="AG19" i="16" s="1"/>
  <c r="J34" i="14"/>
  <c r="J34" i="15"/>
  <c r="J34" i="16" s="1"/>
  <c r="E9" i="15"/>
  <c r="E9" i="14"/>
  <c r="E9" i="16" l="1"/>
  <c r="AA34" i="20"/>
  <c r="AA9" i="20"/>
  <c r="K34" i="14"/>
  <c r="K34" i="15"/>
  <c r="K34" i="16" s="1"/>
  <c r="F9" i="15"/>
  <c r="F9" i="14"/>
  <c r="F9" i="16" l="1"/>
  <c r="AB9" i="20"/>
  <c r="AB34" i="20"/>
  <c r="L34" i="14"/>
  <c r="L34" i="15"/>
  <c r="L34" i="16" s="1"/>
  <c r="H9" i="15"/>
  <c r="H9" i="14"/>
  <c r="H9" i="16" l="1"/>
  <c r="AC9" i="20"/>
  <c r="AC34" i="20"/>
  <c r="M34" i="14"/>
  <c r="M34" i="15"/>
  <c r="M34" i="16" s="1"/>
  <c r="I9" i="15"/>
  <c r="I9" i="14"/>
  <c r="I9" i="16" l="1"/>
  <c r="AD9" i="20"/>
  <c r="AD34" i="20"/>
  <c r="N34" i="14"/>
  <c r="N34" i="15"/>
  <c r="J9" i="15"/>
  <c r="J9" i="14"/>
  <c r="J9" i="16" l="1"/>
  <c r="N34" i="16"/>
  <c r="AE9" i="20"/>
  <c r="AE34" i="20"/>
  <c r="O34" i="14"/>
  <c r="O34" i="15"/>
  <c r="K9" i="15"/>
  <c r="K9" i="16" s="1"/>
  <c r="K9" i="14"/>
  <c r="O34" i="16" l="1"/>
  <c r="AF34" i="20"/>
  <c r="AF9" i="20"/>
  <c r="P34" i="14"/>
  <c r="P34" i="15"/>
  <c r="P34" i="16" s="1"/>
  <c r="L9" i="15"/>
  <c r="L9" i="14"/>
  <c r="L9" i="16" l="1"/>
  <c r="Q34" i="14"/>
  <c r="Q34" i="15"/>
  <c r="Q34" i="16" s="1"/>
  <c r="M9" i="15"/>
  <c r="M9" i="14"/>
  <c r="M9" i="16" l="1"/>
  <c r="R34" i="14"/>
  <c r="R34" i="15"/>
  <c r="R34" i="16" s="1"/>
  <c r="N9" i="15"/>
  <c r="N9" i="14"/>
  <c r="N9" i="16" l="1"/>
  <c r="S34" i="14"/>
  <c r="U34" i="14" s="1"/>
  <c r="V34" i="14" s="1"/>
  <c r="W34" i="14" s="1"/>
  <c r="X34" i="14" s="1"/>
  <c r="Y34" i="14" s="1"/>
  <c r="Z34" i="14" s="1"/>
  <c r="AA34" i="14" s="1"/>
  <c r="AB34" i="14" s="1"/>
  <c r="AC34" i="14" s="1"/>
  <c r="AD34" i="14" s="1"/>
  <c r="AE34" i="14" s="1"/>
  <c r="AF34" i="14" s="1"/>
  <c r="S34" i="15"/>
  <c r="O9" i="15"/>
  <c r="O9" i="16" s="1"/>
  <c r="O9" i="14"/>
  <c r="U34" i="15" l="1"/>
  <c r="S34" i="16"/>
  <c r="P9" i="15"/>
  <c r="P9" i="16" s="1"/>
  <c r="P9" i="14"/>
  <c r="V34" i="15" l="1"/>
  <c r="U34" i="16"/>
  <c r="Q9" i="15"/>
  <c r="Q9" i="16" s="1"/>
  <c r="Q9" i="14"/>
  <c r="W34" i="15" l="1"/>
  <c r="V34" i="16"/>
  <c r="R9" i="15"/>
  <c r="R9" i="16" s="1"/>
  <c r="R9" i="14"/>
  <c r="X34" i="15" l="1"/>
  <c r="W34" i="16"/>
  <c r="S9" i="15"/>
  <c r="S9" i="14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Y34" i="15" l="1"/>
  <c r="X34" i="16"/>
  <c r="U9" i="15"/>
  <c r="S9" i="16"/>
  <c r="V9" i="15" l="1"/>
  <c r="U9" i="16"/>
  <c r="Z34" i="15"/>
  <c r="Y34" i="16"/>
  <c r="AA34" i="15" l="1"/>
  <c r="Z34" i="16"/>
  <c r="W9" i="15"/>
  <c r="V9" i="16"/>
  <c r="X9" i="15" l="1"/>
  <c r="W9" i="16"/>
  <c r="AB34" i="15"/>
  <c r="AA34" i="16"/>
  <c r="AC34" i="15" l="1"/>
  <c r="AB34" i="16"/>
  <c r="Y9" i="15"/>
  <c r="X9" i="16"/>
  <c r="Z9" i="15" l="1"/>
  <c r="Y9" i="16"/>
  <c r="AD34" i="15"/>
  <c r="AC34" i="16"/>
  <c r="AE34" i="15" l="1"/>
  <c r="AD34" i="16"/>
  <c r="AA9" i="15"/>
  <c r="Z9" i="16"/>
  <c r="AB9" i="15" l="1"/>
  <c r="AA9" i="16"/>
  <c r="AF34" i="15"/>
  <c r="AF34" i="16" s="1"/>
  <c r="AE34" i="16"/>
  <c r="AC9" i="15" l="1"/>
  <c r="AB9" i="16"/>
  <c r="AD9" i="15" l="1"/>
  <c r="AC9" i="16"/>
  <c r="AE9" i="15" l="1"/>
  <c r="AD9" i="16"/>
  <c r="AF9" i="15" l="1"/>
  <c r="AF9" i="16" s="1"/>
  <c r="AE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B7" authorId="0" shapeId="0" xr:uid="{2DC94887-A49B-4278-9245-7A0A1FA4108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9868C19B-6336-4648-BB87-57F20D9716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9" authorId="0" shapeId="0" xr:uid="{179FABB7-326B-4CA6-9A31-20C2BBC2AE9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1,128,919,215円-1,779,271円(1Wallst#831)-814,176円(111W56th34D)＝1,126,325,768円</t>
        </r>
      </text>
    </comment>
    <comment ref="B32" authorId="0" shapeId="0" xr:uid="{B6496298-5837-4E57-B120-DD79A415D7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C4F9C6A2-4210-4206-A2B2-3A95ED056E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34" authorId="0" shapeId="0" xr:uid="{82E06C34-8441-4762-95B4-6BD8192C74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1,128,919,215円-1,779,271円(1Wallst#831)-814,176円(111W56th34D)＝1,126,325,768円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夏目 卓司</author>
    <author>倉又 淳一郎</author>
  </authors>
  <commentList>
    <comment ref="B6" authorId="0" shapeId="0" xr:uid="{1C5F3AA0-9AC0-4162-9B1F-4F94A18350C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賃料：US＄6,500</t>
        </r>
      </text>
    </comment>
    <comment ref="F6" authorId="0" shapeId="0" xr:uid="{75312C1A-FDB3-4274-B6AC-A3888EC670DC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I6" authorId="1" shapeId="0" xr:uid="{D5F33814-C17E-4FF8-96BF-696D7843E63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Move In Charge Rent - Tenant (Prorated) :3,261.36</t>
        </r>
      </text>
    </comment>
    <comment ref="J6" authorId="1" shapeId="0" xr:uid="{748C2ACC-8A58-42F6-940D-29AD050C80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2,938.64
Rent - Tenant - October 2024: 3,261.36</t>
        </r>
      </text>
    </comment>
    <comment ref="K6" authorId="1" shapeId="0" xr:uid="{E1E48E76-25E1-414E-9951-352F79C0C5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6,200</t>
        </r>
      </text>
    </comment>
    <comment ref="L6" authorId="1" shapeId="0" xr:uid="{E6A31C81-9679-4C70-8CD1-19F4E39E12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6,200.00
 </t>
        </r>
      </text>
    </comment>
    <comment ref="M6" authorId="1" shapeId="0" xr:uid="{DC80C2A9-0EC1-4A7D-A950-0AF435780A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6,200.00
 </t>
        </r>
      </text>
    </comment>
    <comment ref="N6" authorId="1" shapeId="0" xr:uid="{901ACD56-0E54-460E-81C8-6B381E4A18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6,200</t>
        </r>
      </text>
    </comment>
    <comment ref="O6" authorId="1" shapeId="0" xr:uid="{4FC420F4-82CB-40DA-8531-E592DA78732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</t>
        </r>
      </text>
    </comment>
    <comment ref="P6" authorId="1" shapeId="0" xr:uid="{F74BD1C9-BD65-4CD9-AA1A-2F0EA69335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賃料：6,200.00
保証金払戻し：1,349.88
</t>
        </r>
      </text>
    </comment>
    <comment ref="Q6" authorId="1" shapeId="0" xr:uid="{ABEBF10B-2868-44AA-BC90-6B2EEBB195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賃料：6,200.00
Move-in Deposit refund：150.12
</t>
        </r>
      </text>
    </comment>
    <comment ref="U6" authorId="1" shapeId="0" xr:uid="{8CEC21F8-8490-4005-B133-24D7648173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賃料24日分：4,892.05
</t>
        </r>
      </text>
    </comment>
    <comment ref="V6" authorId="1" shapeId="0" xr:uid="{5BEB981C-5AF7-47D9-B911-20B56030403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デポジットからレントと電気代を引いた金額：2,109.05
申込フィー：15.00</t>
        </r>
      </text>
    </comment>
    <comment ref="W6" authorId="1" shapeId="0" xr:uid="{EBE29FAE-F8C3-4969-8566-7C129FB4AB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賃料12日分：2,564.38</t>
        </r>
      </text>
    </comment>
    <comment ref="X6" authorId="1" shapeId="0" xr:uid="{1EFA710C-DCBD-4A31-A478-14380C29C0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申込フィー：15.00</t>
        </r>
      </text>
    </comment>
    <comment ref="Y6" authorId="1" shapeId="0" xr:uid="{D7378C15-0E8E-43AE-9747-057BC487417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</t>
        </r>
      </text>
    </comment>
    <comment ref="B7" authorId="1" shapeId="0" xr:uid="{698D8036-B5A7-4248-8F89-6C2E79B7864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1" shapeId="0" xr:uid="{C93C5824-32C9-40F2-A97F-893ADC9C3B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B9" authorId="1" shapeId="0" xr:uid="{AABBDB23-DBB6-48AC-8BAB-EB1DE7AE7D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190,636,233円-1,779,271円＝188,856,962円</t>
        </r>
      </text>
    </comment>
    <comment ref="C11" authorId="0" shapeId="0" xr:uid="{6FECDE67-AA76-4CDE-8849-4950A213031D}">
      <text>
        <r>
          <rPr>
            <sz val="9"/>
            <color indexed="81"/>
            <rFont val="MS P ゴシック"/>
            <family val="3"/>
            <charset val="128"/>
          </rPr>
          <t>Management Fees
Initial Set-ups：500
4月分：100</t>
        </r>
      </text>
    </comment>
    <comment ref="D11" authorId="0" shapeId="0" xr:uid="{8FECE2FB-6158-41A4-A082-B810DE28CB38}">
      <text>
        <r>
          <rPr>
            <sz val="9"/>
            <color indexed="81"/>
            <rFont val="MS P ゴシック"/>
            <family val="3"/>
            <charset val="128"/>
          </rPr>
          <t xml:space="preserve">管理費：100
</t>
        </r>
      </text>
    </comment>
    <comment ref="I11" authorId="1" shapeId="0" xr:uid="{66E346E0-B5F4-49AE-89D4-D3F009E20C1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Fee:496
Management New Lease Fee:6,200</t>
        </r>
      </text>
    </comment>
    <comment ref="J11" authorId="1" shapeId="0" xr:uid="{6E59CDBB-CD5A-4C9D-867F-C10E56DF5A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管理費：6,200×0.08
</t>
        </r>
      </text>
    </comment>
    <comment ref="K11" authorId="1" shapeId="0" xr:uid="{BC0410A8-B57E-45FA-ABC0-40F55C3FF6C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管理費：6,200×0.08
</t>
        </r>
      </text>
    </comment>
    <comment ref="L11" authorId="1" shapeId="0" xr:uid="{92741A22-D6C9-448F-8F8C-DAC8EDE4C70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- 1785 Management Fee Dec2024: 496 </t>
        </r>
      </text>
    </comment>
    <comment ref="S11" authorId="1" shapeId="0" xr:uid="{B0DA3F86-357A-4730-AD89-B0C4EEF8A5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6,200×7％</t>
        </r>
      </text>
    </comment>
    <comment ref="X11" authorId="1" shapeId="0" xr:uid="{967DF3BC-BFF9-4CFA-A195-41FBF79CD9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
6,500×7％</t>
        </r>
      </text>
    </comment>
    <comment ref="AG11" authorId="1" shapeId="0" xr:uid="{FB7587E1-8E2A-4086-86A1-613A35FE0C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</t>
        </r>
      </text>
    </comment>
    <comment ref="B12" authorId="1" shapeId="0" xr:uid="{1E27A058-F90C-4D22-A011-02167523228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$4,560.96/quarter
(Mar. 28 closing) - 4 days credit to seller (=$4,560.96/91*4 days)= $200.48
※Seller’s closing statement に基いて: $152.04
Legal Abstract LLC （タイトルカンパニーへの支払い。以下内訳。）
・Policy Premium: $5,673.00
・Recording Fees: $275.00
・Other Fees: $1,359.23
One Wall Street Condominium (Refundable Move in Deposit) $1,500.00
One Wall Street Condominium (Non-Refundable Move In Fee) $500.00
Relo Redac, Inc. (Reimbursements)
・Attorney Fee (Retainer) for real estate purchase transaction (D5 Law Office): $2000.00
・FedEx Fee: $33.23
・Insurance: $703.00
・Inspection $1,028.97
Relo Redac, Inc. (Management Reserve Fee) $12,000.00
Relo Redac, Inc. (Closing Coordination Fee) $14,000.00
Title closer fee（タイトル人員派遣の手数料） $300.00
D5 Law Office PLLC (Legal fee and expenses)
・Legal fee for real estate transaction: $2,000.00
・Shipping Fees: $75.00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Common Charge 3-Year Credit: -$41,957.05
契約時の条項で3年分のコモンチャージを売主が負担のため諸経費からマイナス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12" authorId="0" shapeId="0" xr:uid="{493C1E07-2897-45BE-AB81-64B9A2EA36B6}">
      <text>
        <r>
          <rPr>
            <sz val="9"/>
            <color indexed="81"/>
            <rFont val="MS P ゴシック"/>
            <family val="3"/>
            <charset val="128"/>
          </rPr>
          <t>Bank Charges：12
One Wall Street Condominium (First Month’s Common Charges) $1,165.47</t>
        </r>
      </text>
    </comment>
    <comment ref="D12" authorId="0" shapeId="0" xr:uid="{0F73CCF1-BF99-46A8-96ED-455C10D2FA7B}">
      <text>
        <r>
          <rPr>
            <sz val="9"/>
            <color indexed="81"/>
            <rFont val="MS P ゴシック"/>
            <family val="3"/>
            <charset val="128"/>
          </rPr>
          <t>Common Charges：161.85
Real Estate Taxes：4,560.96
2024年1～3月分固定資産税は3/28クロージングの際、相殺して契約をした。
しかし、売主が3/29に誤って振込んだため5月に売主に＄4,560.96返金をした。</t>
        </r>
      </text>
    </comment>
    <comment ref="E12" authorId="0" shapeId="0" xr:uid="{C2B0AA54-8E0C-4AF1-AB4F-98524FCF7BD4}">
      <text>
        <r>
          <rPr>
            <sz val="9"/>
            <color indexed="81"/>
            <rFont val="MS P ゴシック"/>
            <family val="3"/>
            <charset val="128"/>
          </rPr>
          <t>Common Charges：1,327.32
Real Estate Taxes：5,136.11</t>
        </r>
      </text>
    </comment>
    <comment ref="F12" authorId="0" shapeId="0" xr:uid="{0F0F6C3C-1397-4B6E-BC5B-9963E9B28E15}">
      <text>
        <r>
          <rPr>
            <sz val="9"/>
            <color indexed="81"/>
            <rFont val="MS P ゴシック"/>
            <family val="3"/>
            <charset val="128"/>
          </rPr>
          <t>Common Charges：1,327.32
Application Fee：30</t>
        </r>
      </text>
    </comment>
    <comment ref="H12" authorId="1" shapeId="0" xr:uid="{C703D789-7326-4C32-B621-3A55A8B4F8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Charges:1,327.32
Move-in and Board Fees - 1785 Application processing fee:750.00
Move-in and Board Fees - 1785 Digital retention fee:112.50
Move-in and Board Fees - 1785 Consumer report fee:80.00</t>
        </r>
      </text>
    </comment>
    <comment ref="I12" authorId="1" shapeId="0" xr:uid="{6F00DF28-7B47-441F-867D-0AD4D12DA95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Charges:1,327.32
Miscellaneous and Other Expenses:0.6
Real Estate Taxes:14,857.87</t>
        </r>
      </text>
    </comment>
    <comment ref="J12" authorId="1" shapeId="0" xr:uid="{AFECE91A-C0DF-41D5-A39B-6063F5650A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1,327.32
Miscellaneous and Other Expenses 1785 FSR ACH Processing Fee Oct 2024: 0.60</t>
        </r>
      </text>
    </comment>
    <comment ref="K12" authorId="1" shapeId="0" xr:uid="{D24D7218-CC56-4C36-894C-047FB2FD8D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1,327.32
Miscellaneous and Other Expenses 1785 ACH Processing Fee Nov 2024: 0.50</t>
        </r>
      </text>
    </comment>
    <comment ref="L12" authorId="1" shapeId="0" xr:uid="{D08FFA16-3D08-4671-A686-BD27224AE6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- 1785, Common Charge Dec 2024, #760701-831: 1,327.32
Legal and Accounting - 1785, Tax Credit Fee Dec 2024: 334.17
Miscellaneous and Other Expenses - 1785, ACH Processing Fee Dec 2024: 0.50
Maintenance and Others - 1785 Install new blind 8/14/24: 611.88
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Real Estate Taxes - 1785, Real Estate Tax Credit Dec 2024: </t>
        </r>
        <r>
          <rPr>
            <b/>
            <u/>
            <sz val="9"/>
            <color indexed="81"/>
            <rFont val="MS P ゴシック"/>
            <family val="3"/>
            <charset val="128"/>
          </rPr>
          <t>-167.09</t>
        </r>
      </text>
    </comment>
    <comment ref="M12" authorId="1" shapeId="0" xr:uid="{3CFF702C-1B36-4156-8EB5-9A2C09E04C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- 1785, Common Charge Jan 2025: 1,327.32
Miscellaneous and Other Expenses - 1785, ACH Processing Fee Jan 2025: 0.50</t>
        </r>
      </text>
    </comment>
    <comment ref="N12" authorId="1" shapeId="0" xr:uid="{E9FD5AD6-7E81-43A6-B934-23816AAAA7E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- 1785, Common Charge Feb 2025, #760701-831: 1,349.88
Common Charges - 1785, Retro Common Charge Feb 2025: 22.56
Miscellaneous and Other Expenses - 1785, ACH Processing Fee Feb 2025: 0.50
Insurance - 1785 Insurance 3/28/25-3/28/26: 721.00
</t>
        </r>
      </text>
    </comment>
    <comment ref="O12" authorId="1" shapeId="0" xr:uid="{DE49C1FE-0B64-49F2-A00F-60C3F21DD63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雑費その他：0.50
雑費その他：0.58</t>
        </r>
      </text>
    </comment>
    <comment ref="P12" authorId="1" shapeId="0" xr:uid="{FC293D54-455F-41BC-9A4A-FC1AC6704A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</t>
        </r>
      </text>
    </comment>
    <comment ref="Q12" authorId="1" shapeId="0" xr:uid="{A9D28A34-A4AA-452A-BFBE-20714D9338D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コモンチャージ：1,199.76
コモンチャージ：150.12
雑費その他：0.42</t>
        </r>
      </text>
    </comment>
    <comment ref="R12" authorId="1" shapeId="0" xr:uid="{594C192E-E834-4F8D-8EB7-D7AE50FAE95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送金手数料：0.43
固定資産税1年：20,888.98</t>
        </r>
      </text>
    </comment>
    <comment ref="S12" authorId="1" shapeId="0" xr:uid="{CCAD8E82-9EF0-4368-BF54-E8683F3655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送料手数料：0.43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    </r>
      </text>
    </comment>
    <comment ref="U12" authorId="1" shapeId="0" xr:uid="{B28425F7-B33E-4DF9-9CED-44C5C891EB6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送料手数料：0.38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    </r>
      </text>
    </comment>
    <comment ref="V12" authorId="1" shapeId="0" xr:uid="{62D1242F-49B6-4EB1-8993-F270C09DFB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送料手数料：0.38
</t>
        </r>
      </text>
    </comment>
    <comment ref="W12" authorId="1" shapeId="0" xr:uid="{B4054A60-5AD5-456E-BE82-E731DCF4C28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送料手数料：0.33
紹介手数料：6,500.00
クリーニング：400.00
申込フィー：15.00
ボードフィー：942.50
修繕費：2,681.59
修繕手数料：268.15
</t>
        </r>
      </text>
    </comment>
    <comment ref="X12" authorId="1" shapeId="0" xr:uid="{58130FD1-CA2A-44A3-98F6-6399911C36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送料手数料：0.33
申込フィー：15.00</t>
        </r>
      </text>
    </comment>
    <comment ref="Y12" authorId="1" shapeId="0" xr:uid="{09CD64D5-90F4-483E-A8B9-43E0EFCA2B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送料手数料：0.33</t>
        </r>
      </text>
    </comment>
    <comment ref="Z12" authorId="1" shapeId="0" xr:uid="{AA261021-C9F8-45BE-ABD9-140563D5C6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送料手数料：0.38</t>
        </r>
      </text>
    </comment>
    <comment ref="AA12" authorId="1" shapeId="0" xr:uid="{E6B2D927-82F8-4113-BA39-EB8375716D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送料手数料：0.38</t>
        </r>
      </text>
    </comment>
    <comment ref="AB12" authorId="1" shapeId="0" xr:uid="{5444236F-785F-4947-B7F5-D0F60EED52A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送料手数料：0.33
保険料：749.00</t>
        </r>
      </text>
    </comment>
    <comment ref="AG12" authorId="1" shapeId="0" xr:uid="{6A99C335-339D-4655-8556-C20CFDE300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
</t>
        </r>
      </text>
    </comment>
    <comment ref="B31" authorId="0" shapeId="0" xr:uid="{4433A30C-1B65-403F-A6FE-4BA849D514D3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賃料：US＄6,200</t>
        </r>
      </text>
    </comment>
    <comment ref="F31" authorId="0" shapeId="0" xr:uid="{E20173CF-0405-4924-8D12-EE1DD6EDBEBC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I31" authorId="1" shapeId="0" xr:uid="{67376F84-2FE9-4F72-910C-87D80485814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
Move In Charge
Rent - Tenant (Prorated) </t>
        </r>
      </text>
    </comment>
    <comment ref="J31" authorId="1" shapeId="0" xr:uid="{0365830D-828E-4E20-BC50-95EAFE0ED13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2,938.64
Rent - Tenant - October 2024: 3,261.36</t>
        </r>
      </text>
    </comment>
    <comment ref="K31" authorId="1" shapeId="0" xr:uid="{1028DD0B-7D6B-448F-9541-2254AFBD77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6,200</t>
        </r>
      </text>
    </comment>
    <comment ref="L31" authorId="1" shapeId="0" xr:uid="{5D18CB85-9DFC-45B5-849D-1551C21117B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6,200.00
 </t>
        </r>
      </text>
    </comment>
    <comment ref="M31" authorId="1" shapeId="0" xr:uid="{DB4E676C-4554-4CA0-8C28-529746DE081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: 6,200.00
 </t>
        </r>
      </text>
    </comment>
    <comment ref="N31" authorId="1" shapeId="0" xr:uid="{AC3E89A4-B73D-4773-88D1-3DAF11637E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6,200</t>
        </r>
      </text>
    </comment>
    <comment ref="O31" authorId="1" shapeId="0" xr:uid="{E1270F88-23BD-4F8C-91BC-0BE2DB23058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</t>
        </r>
      </text>
    </comment>
    <comment ref="P31" authorId="1" shapeId="0" xr:uid="{1FDB10B1-B2B4-44AE-A12D-C17E7BA88B3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賃料：6,200.00
保証金払戻し：1,349.88
</t>
        </r>
      </text>
    </comment>
    <comment ref="Q31" authorId="1" shapeId="0" xr:uid="{2CA4FC6D-384A-4B1B-B7CF-D62498F789A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賃料：6,200.00
Move-in Deposit refund：150.12
</t>
        </r>
      </text>
    </comment>
    <comment ref="U31" authorId="1" shapeId="0" xr:uid="{87AFBA53-A964-4FB2-9A36-566A9B8F732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賃料24日分：4,892.05
</t>
        </r>
      </text>
    </comment>
    <comment ref="V31" authorId="1" shapeId="0" xr:uid="{DAC49FC6-C883-46BD-8737-685EFFD509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デポジットからレントと電気代を引いた金額：2,109.05
申込フィー：15.00</t>
        </r>
      </text>
    </comment>
    <comment ref="W31" authorId="1" shapeId="0" xr:uid="{98CFE7AD-6400-4B55-9948-40C8BAEF64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賃料12日分：2,564.38</t>
        </r>
      </text>
    </comment>
    <comment ref="X31" authorId="1" shapeId="0" xr:uid="{59737C80-13F0-4E35-8598-3AC9C03156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申込フィー：15.00</t>
        </r>
      </text>
    </comment>
    <comment ref="Y31" authorId="1" shapeId="0" xr:uid="{99283E1F-2035-4899-A5F0-1ADE7E88F14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</t>
        </r>
      </text>
    </comment>
    <comment ref="B32" authorId="1" shapeId="0" xr:uid="{BF2807CA-FBF5-4AC8-9292-0914777DA5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B34" authorId="1" shapeId="0" xr:uid="{7879F29C-63F9-4A43-8A79-B8C1708F49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190,636,233円-1,779,271円＝188,856,962円</t>
        </r>
      </text>
    </comment>
    <comment ref="C36" authorId="0" shapeId="0" xr:uid="{F7E46868-1A79-4C6C-A211-F3B617750A49}">
      <text>
        <r>
          <rPr>
            <sz val="9"/>
            <color indexed="81"/>
            <rFont val="MS P ゴシック"/>
            <family val="3"/>
            <charset val="128"/>
          </rPr>
          <t>Management Fees
Initial Set-ups：500
4月分：100</t>
        </r>
      </text>
    </comment>
    <comment ref="D36" authorId="0" shapeId="0" xr:uid="{0A42517D-970A-4E3F-B963-B898E5786753}">
      <text>
        <r>
          <rPr>
            <sz val="9"/>
            <color indexed="81"/>
            <rFont val="MS P ゴシック"/>
            <family val="3"/>
            <charset val="128"/>
          </rPr>
          <t xml:space="preserve">管理費：100
</t>
        </r>
      </text>
    </comment>
    <comment ref="I36" authorId="1" shapeId="0" xr:uid="{A85140A2-9853-4CDB-A1BA-B9C70A78E4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Fee:496
Management New Lease Fee:6,200</t>
        </r>
      </text>
    </comment>
    <comment ref="J36" authorId="1" shapeId="0" xr:uid="{4532B98C-6459-4E5C-9258-F1673E7D932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管理費：6,200×0.08
</t>
        </r>
      </text>
    </comment>
    <comment ref="K36" authorId="1" shapeId="0" xr:uid="{EF780C70-546C-4129-B685-E36286C6810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管理費：6,200×0.08
</t>
        </r>
      </text>
    </comment>
    <comment ref="L36" authorId="1" shapeId="0" xr:uid="{A148F92A-0A60-4B0B-915A-3E432FFC9A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- 1785 Management Fee Dec2024: 496 </t>
        </r>
      </text>
    </comment>
    <comment ref="S36" authorId="1" shapeId="0" xr:uid="{48A454C5-5959-4398-A47C-7538C361F3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6,200×7％</t>
        </r>
      </text>
    </comment>
    <comment ref="X36" authorId="1" shapeId="0" xr:uid="{A9EF40CB-5D36-4EC7-BAD0-9831294A7E2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
6,500×7％</t>
        </r>
      </text>
    </comment>
    <comment ref="B37" authorId="1" shapeId="0" xr:uid="{E09DDBDF-CA99-4465-BEA4-FC9D4190A9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$4,560.96/quarter
(Mar. 28 closing) - 4 days credit to seller (=$4,560.96/91*4 days)= $200.48
※Seller’s closing statement に基いて: $152.04
Legal Abstract LLC （タイトルカンパニーへの支払い。以下内訳。）
・Policy Premium: $5,673.00
・Recording Fees: $275.00
・Other Fees: $1,359.23
One Wall Street Condominium (Refundable Move in Deposit) $1,500.00
One Wall Street Condominium (Non-Refundable Move In Fee) $500.00
Relo Redac, Inc. (Reimbursements)
・Attorney Fee (Retainer) for real estate purchase transaction (D5 Law Office): $2000.00
・FedEx Fee: $33.23
・Insurance: $703.00
・Inspection $1,028.97
Relo Redac, Inc. (Management Reserve Fee) $12,000.00
Relo Redac, Inc. (Closing Coordination Fee) $14,000.00
Title closer fee（タイトル人員派遣の手数料） $300.00
D5 Law Office PLLC (Legal fee and expenses)
・Legal fee for real estate transaction: $2,000.00
・Shipping Fees: $75.00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Common Charge 3-Year Credit: -$41,957.05
契約時の条項で3年分のコモンチャージを売主が負担のため諸経費からマイナス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37" authorId="0" shapeId="0" xr:uid="{E0B84640-19BD-4EAB-813C-DE1E628807D7}">
      <text>
        <r>
          <rPr>
            <sz val="9"/>
            <color indexed="81"/>
            <rFont val="MS P ゴシック"/>
            <family val="3"/>
            <charset val="128"/>
          </rPr>
          <t>Bank Charges：12
One Wall Street Condominium (First Month’s Common Charges) $1,165.47</t>
        </r>
      </text>
    </comment>
    <comment ref="D37" authorId="0" shapeId="0" xr:uid="{DC3C4AE0-01A1-4EDE-8E86-AD1E9C72B4BF}">
      <text>
        <r>
          <rPr>
            <sz val="9"/>
            <color indexed="81"/>
            <rFont val="MS P ゴシック"/>
            <family val="3"/>
            <charset val="128"/>
          </rPr>
          <t>Common Charges：161.85
Real Estate Taxes：4,560.96
2024年1～3月分固定資産税は3/28クロージングの際、相殺して契約をした。
しかし、売主が3/29に誤って振込んだため5月に売主に＄4,560.96返金をした。</t>
        </r>
      </text>
    </comment>
    <comment ref="E37" authorId="0" shapeId="0" xr:uid="{349EB3D9-5023-4110-A3C7-727E1748AC31}">
      <text>
        <r>
          <rPr>
            <sz val="9"/>
            <color indexed="81"/>
            <rFont val="MS P ゴシック"/>
            <family val="3"/>
            <charset val="128"/>
          </rPr>
          <t>Common Charges：1,327.32
Real Estate Taxes：1,712.03</t>
        </r>
      </text>
    </comment>
    <comment ref="F37" authorId="0" shapeId="0" xr:uid="{5215C991-882E-478E-B336-DB8F9178AD40}">
      <text>
        <r>
          <rPr>
            <sz val="9"/>
            <color indexed="81"/>
            <rFont val="MS P ゴシック"/>
            <family val="3"/>
            <charset val="128"/>
          </rPr>
          <t>Common Charges：1,327.32
Application Fee：30
Real Estate Taxes：1,712.04</t>
        </r>
      </text>
    </comment>
    <comment ref="H37" authorId="1" shapeId="0" xr:uid="{F8D9A783-58EA-4D42-9448-E70FB3BF3E6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Charges:1,327.32
Move-in and Board Fees - 1785 Application processing fee:750.00
Move-in and Board Fees - 1785 Digital retention fee:112.50
Move-in and Board Fees - 1785 Consumer report fee:80.00
Real Estate Taxes：1,712.04</t>
        </r>
      </text>
    </comment>
    <comment ref="I37" authorId="1" shapeId="0" xr:uid="{B0E9EC89-D9A4-4CB8-937B-940EC2E4B7A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Charges:1,327.32
Miscellaneous and Other Expenses:0.6
Real Estate Taxes:1,650.83</t>
        </r>
      </text>
    </comment>
    <comment ref="J37" authorId="1" shapeId="0" xr:uid="{14FDCB56-D965-4F1B-809A-CCE6C40C61D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1,327.32
Miscellaneous and Other Expenses 1785 FSR ACH Processing Fee Oct 2024: 0.60
Real Estate Taxes：1,650.88</t>
        </r>
      </text>
    </comment>
    <comment ref="K37" authorId="1" shapeId="0" xr:uid="{5FDDA534-5C40-41F4-9546-9E3622A22DD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Common Charges: 1,327.32
Miscellaneous and Other Expenses 1785 ACH Processing Fee Nov 2024: 0.50</t>
        </r>
      </text>
    </comment>
    <comment ref="L37" authorId="1" shapeId="0" xr:uid="{54FA0F79-2666-4F52-9E86-731104C98D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Common Charges - 1785, Common Charge Dec 2024, #760701-831: 1,327.32
Legal and Accounting - 1785, Tax Credit Fee Dec 2024: 334.17
Miscellaneous and Other Expenses - 1785, ACH Processing Fee Dec 2024: 0.50
Maintenance and Others - 1785 Install new blind 8/14/24: 611.88
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Real Estate Taxes - 1785, Real Estate Tax Credit Dec 2024: </t>
        </r>
        <r>
          <rPr>
            <b/>
            <u/>
            <sz val="9"/>
            <color indexed="81"/>
            <rFont val="MS P ゴシック"/>
            <family val="3"/>
            <charset val="128"/>
          </rPr>
          <t>-167.09</t>
        </r>
      </text>
    </comment>
    <comment ref="M37" authorId="1" shapeId="0" xr:uid="{D28E8EB0-C0A8-47D4-8C92-64948344F40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Common Charges - 1785, Common Charge Jan 2025: 1,327.32
Miscellaneous and Other Expenses - 1785, ACH Processing Fee Jan 2025: 0.50</t>
        </r>
      </text>
    </comment>
    <comment ref="N37" authorId="1" shapeId="0" xr:uid="{03E8FAA2-1AE2-406F-806E-887702487F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Common Charges - 1785, Common Charge Feb 2025, #760701-831: 1,349.88
Common Charges - 1785, Retro Common Charge Feb 2025: 22.56
Miscellaneous and Other Expenses - 1785, ACH Processing Fee Feb 2025: 0.50
Insurance - 1785 Insurance 3/28/25-3/28/26: 721.00</t>
        </r>
      </text>
    </comment>
    <comment ref="O37" authorId="1" shapeId="0" xr:uid="{A8D1A77B-7DB9-4DC1-8577-FB5511DD61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コモンチャージ：1,349.88
雑費その他：0.50
雑費その他：0.58</t>
        </r>
      </text>
    </comment>
    <comment ref="P37" authorId="1" shapeId="0" xr:uid="{D2E79E09-9F61-4EE1-A934-F33DCE07EAD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固定資産税：1,650.88
コモンチャージ：1,349.88</t>
        </r>
      </text>
    </comment>
    <comment ref="Q37" authorId="1" shapeId="0" xr:uid="{B3FCF211-0E5D-4DAB-974D-A1226F061A5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Taxes：1,650.88
コモンチャージ：1,199.76
コモンチャージ：150.12
雑費その他：0.42</t>
        </r>
      </text>
    </comment>
    <comment ref="R37" authorId="1" shapeId="0" xr:uid="{3F89E520-D262-4B73-B8FA-0832F79866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送金手数料：0.43
固定資産税1/12：1,740.74</t>
        </r>
      </text>
    </comment>
    <comment ref="S37" authorId="1" shapeId="0" xr:uid="{501D147D-4691-4495-98DC-A9B39F1F5DF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固定資産税1/12：1,740.74
コモンチャージ：1,349.88
送料手数料：0.43　</t>
        </r>
      </text>
    </comment>
    <comment ref="U37" authorId="1" shapeId="0" xr:uid="{893012E4-D38C-428A-ADE3-0B86C4C475B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コモンチャージ：1,349.88
送料手数料：0.38</t>
        </r>
      </text>
    </comment>
    <comment ref="V37" authorId="1" shapeId="0" xr:uid="{3A856B6E-8E88-44E7-8339-58666333071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コモンチャージ：1,349.88
送料手数料：0.38</t>
        </r>
      </text>
    </comment>
    <comment ref="W37" authorId="1" shapeId="0" xr:uid="{7DA919C8-B7B5-4BA3-8F63-7CCB522F49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コモンチャージ：1,349.88
送料手数料：0.33
紹介手数料：6,500.00
クリーニング：400.00
申込フィー：15.00
ボードフィー：942.50
修繕費：2,681.59
修繕手数料：268.15
</t>
        </r>
      </text>
    </comment>
    <comment ref="X37" authorId="1" shapeId="0" xr:uid="{ABF59714-C1EA-47DF-B35C-99BE575DE5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コモンチャージ：1,349.88
送料手数料：0.33
申込フィー：15.00</t>
        </r>
      </text>
    </comment>
    <comment ref="Y37" authorId="1" shapeId="0" xr:uid="{324BFDA3-D13E-4C34-9307-4C54B0738A4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コモンチャージ：1,349.88
送料手数料：0.33</t>
        </r>
      </text>
    </comment>
    <comment ref="Z37" authorId="1" shapeId="0" xr:uid="{7FAF5BE0-7E76-41C3-BEE9-1387E1C3DC4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コモンチャージ：1,363.38
送料手数料：0.38</t>
        </r>
      </text>
    </comment>
    <comment ref="AA37" authorId="1" shapeId="0" xr:uid="{621F5FBB-9D9A-4A2E-B0B5-CFE55B3DECE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
コモンチャージ：1,363.38
送料手数料：0.38</t>
        </r>
      </text>
    </comment>
    <comment ref="AB37" authorId="1" shapeId="0" xr:uid="{59470095-DA21-4EAE-8FEF-3EB38F86DC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</t>
        </r>
      </text>
    </comment>
    <comment ref="AC37" authorId="1" shapeId="0" xr:uid="{16D04FCB-39D7-4DC8-904F-041800A336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</t>
        </r>
      </text>
    </comment>
    <comment ref="AD37" authorId="1" shapeId="0" xr:uid="{616E4D08-6CF5-4BB3-A6E9-1EE8C7CD156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固定資産税1/12：1,740.75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夏目 卓司</author>
    <author>倉又 淳一郎</author>
  </authors>
  <commentList>
    <comment ref="B6" authorId="0" shapeId="0" xr:uid="{C29BE051-3568-412F-A6B0-747483D9D2B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
</t>
        </r>
      </text>
    </comment>
    <comment ref="D6" authorId="0" shapeId="0" xr:uid="{B2A212D3-F002-4388-8753-493CAC2301CA}">
      <text>
        <r>
          <rPr>
            <sz val="9"/>
            <color indexed="81"/>
            <rFont val="MS P ゴシック"/>
            <family val="3"/>
            <charset val="128"/>
          </rPr>
          <t xml:space="preserve">Application Fee Income
：15
</t>
        </r>
      </text>
    </comment>
    <comment ref="E6" authorId="0" shapeId="0" xr:uid="{AA60398E-780B-4742-81DD-FC49B09D7190}">
      <text>
        <r>
          <rPr>
            <sz val="9"/>
            <color indexed="81"/>
            <rFont val="MS P ゴシック"/>
            <family val="3"/>
            <charset val="128"/>
          </rPr>
          <t>ApplicationFeeIncome：
15×2</t>
        </r>
      </text>
    </comment>
    <comment ref="F6" authorId="0" shapeId="0" xr:uid="{C5FE7895-0098-4794-B5E2-15DF320CAB34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H6" authorId="1" shapeId="0" xr:uid="{0931A274-AEDD-445B-BF17-867DC1CD58C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Charge:1,890.41</t>
        </r>
      </text>
    </comment>
    <comment ref="I6" authorId="1" shapeId="0" xr:uid="{E02A263D-BE4E-41EA-80F8-66F24EA10C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Tenant:3,859.59
Rent Tenant:1,890.41</t>
        </r>
      </text>
    </comment>
    <comment ref="J6" authorId="1" shapeId="0" xr:uid="{7F131C29-AFE5-4E40-9E98-3C9A969C4A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</t>
        </r>
      </text>
    </comment>
    <comment ref="K6" authorId="1" shapeId="0" xr:uid="{B14A9119-A62A-4FD1-AE71-1EBBCB1CF63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</t>
        </r>
      </text>
    </comment>
    <comment ref="L6" authorId="1" shapeId="0" xr:uid="{E4BB13C2-FE01-4BF7-902A-9BA97AD1D3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5,750</t>
        </r>
      </text>
    </comment>
    <comment ref="M6" authorId="1" shapeId="0" xr:uid="{0B8EB149-805C-49E5-A28E-7F547640AF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2025: 5,750.00
Refunds - January 2025 - Electricity: 08/22/2024-09/19/2024: 47.24</t>
        </r>
      </text>
    </comment>
    <comment ref="N6" authorId="1" shapeId="0" xr:uid="{279E64FF-8951-4058-895B-39B95AFC0B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
Refunds - February 2025 - Electricity: 09/19/2024 - 10/18/2024: 47.40
Common Charges - 1786, Retro Common Charge Feb 2025: 74.27</t>
        </r>
      </text>
    </comment>
    <comment ref="O6" authorId="1" shapeId="0" xr:uid="{ED029F99-D14E-41E3-A835-D7EE19AF34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電気代等戻り：55.22
延滞料：14.80</t>
        </r>
      </text>
    </comment>
    <comment ref="P6" authorId="1" shapeId="0" xr:uid="{86EA7896-A2BC-4471-8A1C-D0837F44D9B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電気代等戻り：56.54
延滞料：7.40</t>
        </r>
      </text>
    </comment>
    <comment ref="Q6" authorId="1" shapeId="0" xr:uid="{A8CBBC10-1B70-48BA-9910-5ABA10A4DD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電気代等戻り：92.16
延滞料：7.40</t>
        </r>
      </text>
    </comment>
    <comment ref="R6" authorId="1" shapeId="0" xr:uid="{4E74D6C0-9CDB-4473-84CE-9C06B2A259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電気代戻し：80.33
延滞料：7.40</t>
        </r>
      </text>
    </comment>
    <comment ref="S6" authorId="1" shapeId="0" xr:uid="{E0EDFA22-5F89-46D6-8571-379980AD1D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電気代戻し：51.13
延滞料：7.40</t>
        </r>
      </text>
    </comment>
    <comment ref="U6" authorId="1" shapeId="0" xr:uid="{83910CCE-5470-42C8-BB11-8A6F5203F9D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賃料8日分：1,512.32
電気代払戻し：58.82
電気代払戻し：56.75
電気代払戻し：70.99
遅滞金：7.40</t>
        </r>
      </text>
    </comment>
    <comment ref="V6" authorId="1" shapeId="0" xr:uid="{381FA29D-7E1F-4E45-863C-DE0AEAC441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遅延金：7.40
申込フィー：15.00
電気代払戻し：71.56</t>
        </r>
      </text>
    </comment>
    <comment ref="W6" authorId="1" shapeId="0" xr:uid="{3D1A365A-2263-4017-B189-72AD396EF3B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遅延金：7.40</t>
        </r>
      </text>
    </comment>
    <comment ref="Z6" authorId="1" shapeId="0" xr:uid="{3FE7C4B5-66FE-45A5-93CE-3C02A1030C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電気代戻し：24.12</t>
        </r>
      </text>
    </comment>
    <comment ref="AA6" authorId="1" shapeId="0" xr:uid="{A3F199DE-8C0F-4AC1-AE9C-7BAA117233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電気代戻し：24.44</t>
        </r>
      </text>
    </comment>
    <comment ref="AB6" authorId="1" shapeId="0" xr:uid="{A8C1E905-7679-4766-BFE0-9EE81A8F28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電気代戻し：32.50</t>
        </r>
      </text>
    </comment>
    <comment ref="B7" authorId="1" shapeId="0" xr:uid="{7C90E0AB-7AB7-43D5-8DD5-142A1B4EC98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1" shapeId="0" xr:uid="{D47BB7DD-FF28-41EA-97BA-79025EB4F1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9" authorId="1" shapeId="0" xr:uid="{64894291-93E0-4180-922A-B5CF330890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87,233,222円-814,176円＝86,419,046円</t>
        </r>
      </text>
    </comment>
    <comment ref="C11" authorId="0" shapeId="0" xr:uid="{C230AB2D-AC12-4AB4-B4C3-9E141CEBA7AD}">
      <text>
        <r>
          <rPr>
            <sz val="9"/>
            <color indexed="81"/>
            <rFont val="MS P ゴシック"/>
            <family val="3"/>
            <charset val="128"/>
          </rPr>
          <t>Management Fees
Initial Set-ups：500
4月分：100</t>
        </r>
      </text>
    </comment>
    <comment ref="D11" authorId="0" shapeId="0" xr:uid="{D8E24BD3-79A7-42D1-AE23-E927CC7041F1}">
      <text>
        <r>
          <rPr>
            <sz val="9"/>
            <color indexed="81"/>
            <rFont val="MS P ゴシック"/>
            <family val="3"/>
            <charset val="128"/>
          </rPr>
          <t>管理費：100</t>
        </r>
      </text>
    </comment>
    <comment ref="H11" authorId="1" shapeId="0" xr:uid="{323EBE85-282D-4783-BC78-0A6844ABDF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New Leases:5750.00
Management Fees:230.00
</t>
        </r>
      </text>
    </comment>
    <comment ref="I11" authorId="1" shapeId="0" xr:uid="{E55BED9D-13D2-48EE-8329-AAB4E1AECE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J11" authorId="1" shapeId="0" xr:uid="{DA91DF75-6FA1-4C77-8EDD-1DB8A38A96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K11" authorId="1" shapeId="0" xr:uid="{7BBF2721-BCD5-4214-B58E-23BAA23342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L11" authorId="1" shapeId="0" xr:uid="{D19A4C86-948E-4FB4-BBFE-34483D6957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S11" authorId="1" shapeId="0" xr:uid="{E05561EE-C764-4BAE-B9BD-CFDF9C3F47C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5,750×7％</t>
        </r>
      </text>
    </comment>
    <comment ref="U11" authorId="1" shapeId="0" xr:uid="{16B3CA12-90D5-49E3-A3CD-CC39F82DBF0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月半ば解約のため管理手数料は半額</t>
        </r>
      </text>
    </comment>
    <comment ref="W11" authorId="1" shapeId="0" xr:uid="{36F1E58E-5F39-4676-9714-4E0C2D9237C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6,000×7％</t>
        </r>
      </text>
    </comment>
    <comment ref="B12" authorId="1" shapeId="0" xr:uid="{330BD663-B3AB-4B2B-8D2D-0CB998ABFB8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:$1,161.44/ month
(Mar. 29 closing) 3 days credit to seller(=$1,161.44/31*3 days)：$112.40
Real Estate Tax Adjustment : $3,694.82/ 3rd &amp;4th Qt. (Jan.1-Jun.30 2024)
(Mar. 29 closing) 94 days credit to seller (=$3,694.82/182*94 days): $1,908.32
Legal Abstract LLC 
・Policy Premium: $ 4,716.00
・Mansion Tax: $11,250.00
・Recording Fees: $275.00
・Other Fees: $1,075.44
Relo Redac, Inc. (Reimbursements)
・Attorney Fee (Retainer) for real estate purchase transaction (D5 Law Office): $2000.00
・Insurance: $557.00
・Inspection: $1,028.97
Relo Redac, Inc. (Management Reserve Fee) $12,000.00
Relo Redac, Inc. (Closing Coordination Fee) $11,250.00
111 West 56 Street Condominium (Working Capital Contribution) $1,161.44
111 West 56 Street Condominium (NYC ACRIS Transfer Document Preparation Fee) $300.00
111 West 56 Street Condounium (Move-in Fee) $395.00
111 West 56 Street Condounium (Move-in Deposit) $1,500.00
Title closer fee $300.00
D5 Law Office PLLC (Legal fee and expenses)
・Legal fee for real estate transaction: $2,000.00
・Shipping Fees: $75.00</t>
        </r>
      </text>
    </comment>
    <comment ref="C12" authorId="0" shapeId="0" xr:uid="{EAB0DCB4-0C3D-42BD-8E94-A89174A56A32}">
      <text>
        <r>
          <rPr>
            <sz val="9"/>
            <color indexed="81"/>
            <rFont val="MS P ゴシック"/>
            <family val="3"/>
            <charset val="128"/>
          </rPr>
          <t>Bank Charges：12
111 West 56 Street Condounium (First Month's Common Charge) $1,161.44</t>
        </r>
      </text>
    </comment>
    <comment ref="D12" authorId="0" shapeId="0" xr:uid="{57FD1BB2-EEE2-4ACD-A598-E7C8020AB218}">
      <text>
        <r>
          <rPr>
            <sz val="9"/>
            <color indexed="81"/>
            <rFont val="MS P ゴシック"/>
            <family val="3"/>
            <charset val="128"/>
          </rPr>
          <t>Common Charges：1,076.12
Application Fee：15</t>
        </r>
      </text>
    </comment>
    <comment ref="E12" authorId="0" shapeId="0" xr:uid="{DD6C488B-CC68-4FEB-A6F6-780625C4C972}">
      <text>
        <r>
          <rPr>
            <sz val="9"/>
            <color indexed="81"/>
            <rFont val="MS P ゴシック"/>
            <family val="3"/>
            <charset val="128"/>
          </rPr>
          <t>Common Charges：1,164.44
Application Fee：30</t>
        </r>
      </text>
    </comment>
    <comment ref="F12" authorId="0" shapeId="0" xr:uid="{3EF14FF5-31EC-41F6-9295-3B9F0C34D6AA}">
      <text>
        <r>
          <rPr>
            <sz val="9"/>
            <color indexed="81"/>
            <rFont val="MS P ゴシック"/>
            <family val="3"/>
            <charset val="128"/>
          </rPr>
          <t>Common Charges：1,161.44
Application Fee：30</t>
        </r>
      </text>
    </comment>
    <comment ref="H12" authorId="1" shapeId="0" xr:uid="{1D7829FF-BF67-4ABF-8B90-A12A5CBE44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Move-in and Board Fees - 1786 Application Processing:900.00
Move-in and Board Fees - 1786 Consumer Report Fee:240.00
Move-in and Board Fees - 1786 Consumer Report Fee:112.50
Move-in and Board Fees - 1786 Move Out Fee:500.00
Move-in and Board Fees - 1786 Move Out Deposit:1,000.00
Common Charges:1,161.44
Electric, Gas, Fuel, Oil and Other Utilities:26.82
Maintenance and Others:250.00</t>
        </r>
      </text>
    </comment>
    <comment ref="I12" authorId="1" shapeId="0" xr:uid="{06FDD4DE-EB6F-478A-94DB-DBB2F16A7EB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Charges:1,161.44
Electric, Gas, Fuel, Oil and Other Utilities:30.17
Maintenance and Others:348.40
Miscellaneous and Other Expenses:1.50
Real Estate Taxes:6,388.17</t>
        </r>
      </text>
    </comment>
    <comment ref="J12" authorId="1" shapeId="0" xr:uid="{69CBA45A-EA3C-435C-BA99-974642C0F8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1,161.44
Electric, Gas, Fuel, Oil and Other Utilities: 38.92
Electric, Gas, Fuel, Oil and Other Utilities April: 30.95
Miscellaneous and Other Expenses: 1.50</t>
        </r>
      </text>
    </comment>
    <comment ref="K12" authorId="1" shapeId="0" xr:uid="{252E7E9D-6BEC-49EF-818B-B8ED73EB69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1,161.44
Electric, Gas, Fuel, Oil and Other Utilities Nov 2024: 26.76
Miscellaneous and Other Expenses: 1.00</t>
        </r>
      </text>
    </comment>
    <comment ref="L12" authorId="1" shapeId="0" xr:uid="{23C51C2F-AF6A-41C5-A5C6-000B57BEDEB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- 1786, Common Charge Dec 2024, #701101-34D: 1,161.44
Electric, Gas, Fuel, Oil and Other Utilities - 1786, Electric Dec 2024: 43.10
Miscellaneous and Other Expenses - 1786, ACH Processing Fee Dec 2024: 1.00</t>
        </r>
      </text>
    </comment>
    <comment ref="M12" authorId="1" shapeId="0" xr:uid="{A6261D57-FF87-4B47-9192-9C1CD2F49B1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- 1786, Common Charge Jan 2025: 1,161.44
Electric, Gas, Fuel, Oil and Other Utilities - 1786,Electric Jan 2025: 40.00
Miscellaneous and Other Expenses - 1786, ACH Processing Fee Jan 2025: 1.00</t>
        </r>
      </text>
    </comment>
    <comment ref="N12" authorId="1" shapeId="0" xr:uid="{BDE42792-B5CF-403B-A373-A25425C50A7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- 1786, Common Charge Feb 2025, #701101-34D: 1,087.17
Electric, Gas, Fuel, Oil and Other Utilities - 1786, Electric Feb 2025: 55.22
Miscellaneous and Other Expenses - 1786, ACH Processing Fee Feb 2025: 0.75
Insurance - 1786 Insurance 3/29/25-3/29/26: 570.00</t>
        </r>
      </text>
    </comment>
    <comment ref="O12" authorId="1" shapeId="0" xr:uid="{E995713D-A986-43B5-844D-FF7323A4C93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電気代等：56.54
雑費等：0.75
雑費等：0.58</t>
        </r>
      </text>
    </comment>
    <comment ref="P12" authorId="1" shapeId="0" xr:uid="{56A524E1-39D8-4A84-9537-D6BC24BEC53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電気代等：92.16
雑費等：0.75</t>
        </r>
      </text>
    </comment>
    <comment ref="Q12" authorId="1" shapeId="0" xr:uid="{C42C9819-048A-4563-B625-382EA75A6A6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電気代等：80.33
雑費等：0.75</t>
        </r>
      </text>
    </comment>
    <comment ref="R12" authorId="1" shapeId="0" xr:uid="{E9511395-7646-42F6-981E-A867654756F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電気代6月：51.13
HAVCメンテナンス：348.40
送金手数料：0.75
固定資産税1年：9,243.07</t>
        </r>
      </text>
    </comment>
    <comment ref="S12" authorId="1" shapeId="0" xr:uid="{213606BA-7342-4B69-9AAE-AF1DED46A43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電気代7月：58.82
送金手数料：0.75</t>
        </r>
      </text>
    </comment>
    <comment ref="U12" authorId="1" shapeId="0" xr:uid="{8ACC8941-1138-4AE8-A6B9-48273479B0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電気代：56.75
送金手数料：0.75</t>
        </r>
      </text>
    </comment>
    <comment ref="V12" authorId="1" shapeId="0" xr:uid="{4A1FA527-3C4A-4A9F-9FD7-DBBA0FE7C44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電気代：70.99
送金手数料：0.75
申込フィー：15.00</t>
        </r>
      </text>
    </comment>
    <comment ref="W12" authorId="1" shapeId="0" xr:uid="{C4126225-5ECB-4CFB-B320-4282208DAAE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電気代：71.56
送金手数料：0.50
クリーニング：571.59
紹介手数料：6,000.00</t>
        </r>
      </text>
    </comment>
    <comment ref="X12" authorId="1" shapeId="0" xr:uid="{982619BB-28BD-46F9-958D-FA655A5122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電気代：42.56
遅延金：88.80
送金手数料：0.50
ペイント代：1,955.25
ペイント代コーディネート費：195.52</t>
        </r>
      </text>
    </comment>
    <comment ref="Y12" authorId="1" shapeId="0" xr:uid="{548706F3-8E64-4C6E-B595-8D4C81B207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電気代：21.75
送金手数料：0.50</t>
        </r>
      </text>
    </comment>
    <comment ref="Z12" authorId="1" shapeId="0" xr:uid="{0EF80E04-E7D7-465A-B735-43950C4019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コモンチャージ：1,128.42
電気代：34.44
送金手数料：0.50
</t>
        </r>
      </text>
    </comment>
    <comment ref="AA12" authorId="1" shapeId="0" xr:uid="{7FE88AEF-0E31-45AF-BDB0-EFE6C1015E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コモンチャージ：1,128.42
電気代：32.50
送金手数料：0.50
</t>
        </r>
      </text>
    </comment>
    <comment ref="AB12" authorId="1" shapeId="0" xr:uid="{1B2414F0-7229-4E50-B3A2-A84A23680C4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コモンチャージ：1,128.42
電気代：42.94
送金手数料：0.50
保険料：591.00</t>
        </r>
      </text>
    </comment>
    <comment ref="B31" authorId="0" shapeId="0" xr:uid="{524B9AFD-FA37-4D12-9739-2B543FE08C5B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
</t>
        </r>
      </text>
    </comment>
    <comment ref="D31" authorId="0" shapeId="0" xr:uid="{E49E1817-23C9-436E-A80A-5E9B810DF94C}">
      <text>
        <r>
          <rPr>
            <sz val="9"/>
            <color indexed="81"/>
            <rFont val="MS P ゴシック"/>
            <family val="3"/>
            <charset val="128"/>
          </rPr>
          <t xml:space="preserve">Application Fee Income
：15
</t>
        </r>
      </text>
    </comment>
    <comment ref="E31" authorId="0" shapeId="0" xr:uid="{5AA9A0AA-34F0-4CB3-81B6-A97D3934B2AA}">
      <text>
        <r>
          <rPr>
            <sz val="9"/>
            <color indexed="81"/>
            <rFont val="MS P ゴシック"/>
            <family val="3"/>
            <charset val="128"/>
          </rPr>
          <t>ApplicationFeeIncome：
15×2</t>
        </r>
      </text>
    </comment>
    <comment ref="F31" authorId="0" shapeId="0" xr:uid="{04988A4F-3A28-4257-A015-7545433EF89A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H31" authorId="1" shapeId="0" xr:uid="{45F0D8A3-CF99-4D00-9E1B-42BA37633EA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Charge:1,890.41</t>
        </r>
      </text>
    </comment>
    <comment ref="I31" authorId="1" shapeId="0" xr:uid="{23203A7E-B7B4-469B-BD63-8BDB574C8CC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Tenant:3,859.59
Rent Tenant:1,890.41</t>
        </r>
      </text>
    </comment>
    <comment ref="J31" authorId="1" shapeId="0" xr:uid="{126F809F-1CF1-401E-83E9-D46287EC56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</t>
        </r>
      </text>
    </comment>
    <comment ref="K31" authorId="1" shapeId="0" xr:uid="{20C83814-03E7-41DA-AEFD-769F79EA13E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</t>
        </r>
      </text>
    </comment>
    <comment ref="L31" authorId="1" shapeId="0" xr:uid="{F568F9D0-BF92-4E85-B8DF-27FBE86371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5,750</t>
        </r>
      </text>
    </comment>
    <comment ref="M31" authorId="1" shapeId="0" xr:uid="{54700C95-E040-4697-83BC-C4BD2B036C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2025: 5,750.00
Refunds - January 2025 - Electricity: 08/22/2024-09/19/2024: 47.24</t>
        </r>
      </text>
    </comment>
    <comment ref="N31" authorId="1" shapeId="0" xr:uid="{A59EC03C-A367-4321-A32B-60599056FD7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5,750.00
Refunds - February 2025 - Electricity: 09/19/2024 - 10/18/2024: 47.40
Common Charges - 1786, Retro Common Charge Feb 2025: 74.27</t>
        </r>
      </text>
    </comment>
    <comment ref="O31" authorId="1" shapeId="0" xr:uid="{E072D992-2F96-48BB-B8CE-5297FD9F7C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電気代等戻り：55.22
延滞料：14.80</t>
        </r>
      </text>
    </comment>
    <comment ref="P31" authorId="1" shapeId="0" xr:uid="{DE24A087-D8CB-4B7B-AFDC-64D6701D848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電気代等戻り：56.54
延滞料：7.40</t>
        </r>
      </text>
    </comment>
    <comment ref="Q31" authorId="1" shapeId="0" xr:uid="{441967A5-D6E9-4F92-A884-083B2A737FD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電気代等戻り：92.16
延滞料：7.40</t>
        </r>
      </text>
    </comment>
    <comment ref="R31" authorId="1" shapeId="0" xr:uid="{462AE24B-782D-4319-A518-75D065E776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電気代戻し：80.33
延滞料：7.40</t>
        </r>
      </text>
    </comment>
    <comment ref="S31" authorId="1" shapeId="0" xr:uid="{80DE9F3B-6BD7-4D22-8F25-83DCCFE783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賃料：5,750.00
電気代戻し：51.13
延滞料：7.40</t>
        </r>
      </text>
    </comment>
    <comment ref="U31" authorId="1" shapeId="0" xr:uid="{06FA59C3-7067-49FF-A42C-97AFD2F821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賃料8日分：1,512.32
電気代払戻し：58.82
電気代払戻し：56.75
電気代払戻し：70.99
遅滞金：7.40</t>
        </r>
      </text>
    </comment>
    <comment ref="V31" authorId="1" shapeId="0" xr:uid="{83376E2D-0BE5-46A2-A85B-5EEC82F7954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遅延金：7.40
申込フィー：15.00
電気代払戻し：71.56</t>
        </r>
      </text>
    </comment>
    <comment ref="W31" authorId="1" shapeId="0" xr:uid="{EE8E9E36-7144-466F-A608-A2E1E07969D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遅延金：7.40</t>
        </r>
      </text>
    </comment>
    <comment ref="Z31" authorId="1" shapeId="0" xr:uid="{7A25D492-360C-4506-9E29-F02C78632D9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電気代戻し：24.12</t>
        </r>
      </text>
    </comment>
    <comment ref="AA31" authorId="1" shapeId="0" xr:uid="{62C8D8D2-A891-4B85-B297-02592E3096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電気代戻し：24.44</t>
        </r>
      </text>
    </comment>
    <comment ref="AB31" authorId="1" shapeId="0" xr:uid="{83DAB843-19E2-4A1D-8D44-B62708FA5B4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賃料：6,000.00
電気代戻し：32.50</t>
        </r>
      </text>
    </comment>
    <comment ref="B32" authorId="1" shapeId="0" xr:uid="{42C9D4D8-AE5B-4A3D-AC40-BDC53E85AA3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1" shapeId="0" xr:uid="{9F1ED706-07B1-4B38-9D61-62FF33D3846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34" authorId="1" shapeId="0" xr:uid="{05D7DDF4-C638-42E3-B193-6F88BE2FFD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減価償却費(円)-2024年3月分減価償却費
87,233,222円-814,176円＝86,419,046円</t>
        </r>
      </text>
    </comment>
    <comment ref="C36" authorId="0" shapeId="0" xr:uid="{759A9655-69B3-4FFB-A826-CB1088D43BE5}">
      <text>
        <r>
          <rPr>
            <sz val="9"/>
            <color indexed="81"/>
            <rFont val="MS P ゴシック"/>
            <family val="3"/>
            <charset val="128"/>
          </rPr>
          <t>Management Fees
Initial Set-ups：500
4月分：100</t>
        </r>
      </text>
    </comment>
    <comment ref="D36" authorId="0" shapeId="0" xr:uid="{AE866F9D-265A-430D-B85F-FDEE176F2CAA}">
      <text>
        <r>
          <rPr>
            <sz val="9"/>
            <color indexed="81"/>
            <rFont val="MS P ゴシック"/>
            <family val="3"/>
            <charset val="128"/>
          </rPr>
          <t>管理費：100</t>
        </r>
      </text>
    </comment>
    <comment ref="H36" authorId="1" shapeId="0" xr:uid="{95343BD2-81CD-4417-BE20-888DC264FD4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New Leases:5750.00
Management Fees:230.00
</t>
        </r>
      </text>
    </comment>
    <comment ref="I36" authorId="1" shapeId="0" xr:uid="{0BBA7DD1-E737-4D8B-BD99-1D7F99112F8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管理手数料：5,750×0.08</t>
        </r>
      </text>
    </comment>
    <comment ref="J36" authorId="1" shapeId="0" xr:uid="{416CEB8E-1962-4F4C-A9F5-219CC753E65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K36" authorId="1" shapeId="0" xr:uid="{2C8E77FE-9ED8-4427-B650-6D542CCB841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L36" authorId="1" shapeId="0" xr:uid="{36AE547B-0BBA-4FEC-B21C-0875CA93FB9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Fee：5,750×0.08</t>
        </r>
      </text>
    </comment>
    <comment ref="S36" authorId="1" shapeId="0" xr:uid="{5C9AEB89-167E-41C7-A93A-08883103AE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5,750×7％</t>
        </r>
      </text>
    </comment>
    <comment ref="U36" authorId="1" shapeId="0" xr:uid="{FA78BA3B-E93C-438D-8963-352A80A2A67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月半ば解約のため管理手数料は半額</t>
        </r>
      </text>
    </comment>
    <comment ref="V36" authorId="1" shapeId="0" xr:uid="{F38A899D-20F8-4BE0-A2EC-A4F083AFE8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月半ば解約のため管理手数料は半額</t>
        </r>
      </text>
    </comment>
    <comment ref="W36" authorId="1" shapeId="0" xr:uid="{F3728078-6ADF-4DDA-90A3-332763744DF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6,000×7％</t>
        </r>
      </text>
    </comment>
    <comment ref="B37" authorId="1" shapeId="0" xr:uid="{9642B3BE-484A-48E3-B7CF-C215785D35B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:$1,161.44/ month
(Mar. 29 closing) 3 days credit to seller(=$1,161.44/31*3 days)：$112.40
Real Estate Tax Adjustment : $3,694.82/ 3rd &amp;4th Qt. (Jan.1-Jun.30 2024)
(Mar. 29 closing) 94 days credit to seller (=$3,694.82/182*94 days): $1,908.32
Legal Abstract LLC 
・Policy Premium: $ 4,716.00
・Mansion Tax: $11,250.00
・Recording Fees: $275.00
・Other Fees: $1,075.44
Relo Redac, Inc. (Reimbursements)
・Attorney Fee (Retainer) for real estate purchase transaction (D5 Law Office): $2000.00
・Insurance: $557.00
・Inspection: $1,028.97
Relo Redac, Inc. (Management Reserve Fee) $12,000.00
Relo Redac, Inc. (Closing Coordination Fee) $11,250.00
111 West 56 Street Condominium (Working Capital Contribution) $1,161.44
111 West 56 Street Condominium (NYC ACRIS Transfer Document Preparation Fee) $300.00
111 West 56 Street Condounium (Move-in Fee) $395.00
111 West 56 Street Condounium (Move-in Deposit) $1,500.00
Title closer fee $300.00
D5 Law Office PLLC (Legal fee and expenses)
・Legal fee for real estate transaction: $2,000.00
・Shipping Fees: $75.00</t>
        </r>
      </text>
    </comment>
    <comment ref="C37" authorId="0" shapeId="0" xr:uid="{C3FC95C1-0A1F-4861-9A74-7E18DD5BC992}">
      <text>
        <r>
          <rPr>
            <sz val="9"/>
            <color indexed="81"/>
            <rFont val="MS P ゴシック"/>
            <family val="3"/>
            <charset val="128"/>
          </rPr>
          <t>Bank Charges：12
111 West 56 Street Condounium (First Month's Common Charge) $1,161.44</t>
        </r>
      </text>
    </comment>
    <comment ref="D37" authorId="0" shapeId="0" xr:uid="{A8FF4277-63E3-443D-A068-B3230C345FD0}">
      <text>
        <r>
          <rPr>
            <sz val="9"/>
            <color indexed="81"/>
            <rFont val="MS P ゴシック"/>
            <family val="3"/>
            <charset val="128"/>
          </rPr>
          <t>Common Charges：1,076.12
Application Fee：15</t>
        </r>
      </text>
    </comment>
    <comment ref="E37" authorId="0" shapeId="0" xr:uid="{D9D73B44-C59A-4713-8AA0-1018DE26E75D}">
      <text>
        <r>
          <rPr>
            <sz val="9"/>
            <color indexed="81"/>
            <rFont val="MS P ゴシック"/>
            <family val="3"/>
            <charset val="128"/>
          </rPr>
          <t>Common Charges：1,164.44
Application Fee：30</t>
        </r>
      </text>
    </comment>
    <comment ref="F37" authorId="0" shapeId="0" xr:uid="{5B5E8F15-71D8-4CBA-978E-48506EA65749}">
      <text>
        <r>
          <rPr>
            <sz val="9"/>
            <color indexed="81"/>
            <rFont val="MS P ゴシック"/>
            <family val="3"/>
            <charset val="128"/>
          </rPr>
          <t>Common Charges：1,161.44
Application Fee：30</t>
        </r>
      </text>
    </comment>
    <comment ref="H37" authorId="1" shapeId="0" xr:uid="{24D77A27-0C55-4556-B32B-4CE785995C7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Move-in and Board Fees - 1786 Application Processing:900.00
Move-in and Board Fees - 1786 Consumer Report Fee:240.00
Move-in and Board Fees - 1786 Consumer Report Fee:112.50
Move-in and Board Fees - 1786 Move Out Fee:500.00
Move-in and Board Fees - 1786 Move Out Deposit:1,000.00
Common Charges:1,161.44
Electric, Gas, Fuel, Oil and Other Utilities:26.82
Maintenance and Others:250.00</t>
        </r>
      </text>
    </comment>
    <comment ref="I37" authorId="1" shapeId="0" xr:uid="{48DC9194-DED2-4C64-901C-6ADA70A88F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Charges:1,161.44
Electric, Gas, Fuel, Oil and Other Utilities:30.17
Maintenance and Others:348.40
Miscellaneous and Other Expenses:1.50
Real Estate Taxes：709.77</t>
        </r>
      </text>
    </comment>
    <comment ref="J37" authorId="1" shapeId="0" xr:uid="{3591E164-753B-4A84-8E87-87A72C071C9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1,161.44
Electric, Gas, Fuel, Oil and Other Utilities: 38.92
Electric, Gas, Fuel, Oil and Other Utilities April: 30.95
Miscellaneous and Other Expenses: 1.50
Real Estate Taxes：709.80</t>
        </r>
      </text>
    </comment>
    <comment ref="K37" authorId="1" shapeId="0" xr:uid="{37410DF6-2324-49F5-9B22-8A353066B7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Common Charges: 1,161.44
Electric, Gas, Fuel, Oil and Other Utilities Nov 2024: 26.76
Miscellaneous and Other Expenses: 1.00</t>
        </r>
      </text>
    </comment>
    <comment ref="L37" authorId="1" shapeId="0" xr:uid="{5EA21AD2-F60E-4F90-BFF1-4815D218518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Common Charges - 1786, Common Charge Dec 2024, #701101-34D: 1,161.44
Electric, Gas, Fuel, Oil and Other Utilities - 1786, Electric Dec 2024: 43.10
Miscellaneous and Other Expenses - 1786, ACH Processing Fee Dec 2024: 1.00</t>
        </r>
      </text>
    </comment>
    <comment ref="M37" authorId="1" shapeId="0" xr:uid="{BA4C8975-29A8-4F86-8EDD-B111C2C7984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Common Charges - 1786, Common Charge Jan 2025: 1,161.44
Electric, Gas, Fuel, Oil and Other Utilities - 1786,Electric Jan 2025: 40.00
Miscellaneous and Other Expenses - 1786, ACH Processing Fee Jan 2025: 1.00</t>
        </r>
      </text>
    </comment>
    <comment ref="N37" authorId="1" shapeId="0" xr:uid="{E878D26A-919C-4FA6-B82D-2B4F62902D1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Common Charges - 1786, Common Charge Feb 2025, #701101-34D: 1,087.17
Electric, Gas, Fuel, Oil and Other Utilities - 1786, Electric Feb 2025: 55.22
Miscellaneous and Other Expenses - 1786, ACH Processing Fee Feb 2025: 0.75
Insurance - 1786 Insurance 3/29/25-3/29/26: 570.00</t>
        </r>
      </text>
    </comment>
    <comment ref="O37" authorId="1" shapeId="0" xr:uid="{069850DC-4BC6-42FA-AFA9-1E4485FEA86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コモンチャージ：1,087.17
電気代等：56.54
雑費等：0.75
雑費等：0.58</t>
        </r>
      </text>
    </comment>
    <comment ref="P37" authorId="1" shapeId="0" xr:uid="{C3FB9CE9-AB7C-498E-85BD-2A88264B91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固定資産税：709.80
コモンチャージ：1,087.17
電気代等：92.16
雑費等：0.75</t>
        </r>
      </text>
    </comment>
    <comment ref="Q37" authorId="1" shapeId="0" xr:uid="{3D020AD1-3AA3-46DE-84D2-8D97A36F06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Taxes：709.80
コモンチャージ：1,087.17
電気代等：80.33
雑費等：0.75</t>
        </r>
      </text>
    </comment>
    <comment ref="R37" authorId="1" shapeId="0" xr:uid="{AAA6CCA2-F2B9-4FE7-9E47-07AC8E05E8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コモンチャージ：1,087.17
電気代6月：51.13
HAVCメンテナンス：348.40
送金手数料：0.75
固定資産税1/12：770.21</t>
        </r>
      </text>
    </comment>
    <comment ref="S37" authorId="1" shapeId="0" xr:uid="{2AB5E39F-6439-4C5A-B353-09793A36184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電気代7月：58.82
送金手数料：0.75</t>
        </r>
      </text>
    </comment>
    <comment ref="U37" authorId="1" shapeId="0" xr:uid="{9ABC1975-27DE-46CF-BEF5-D28E936A463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電気代：56.75
送金手数料：0.75</t>
        </r>
      </text>
    </comment>
    <comment ref="V37" authorId="1" shapeId="0" xr:uid="{0F18B096-247B-4A61-97C7-4B110B85D0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電気代：70.99
送金手数料：0.75
申込フィー：15.00</t>
        </r>
      </text>
    </comment>
    <comment ref="W37" authorId="1" shapeId="0" xr:uid="{21EF500D-9E97-485A-8126-1E80DB8D78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電気代：71.56
送金手数料：0.50
クリーニング：571.59
紹介手数料：6,000.00</t>
        </r>
      </text>
    </comment>
    <comment ref="X37" authorId="1" shapeId="0" xr:uid="{A86522EC-17F1-4059-A074-D1D0F7C1844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電気代：42.56
遅延金：88.80
送金手数料：0.50
ペイント代：1,955.25
ペイント代コーディネート費：195.52</t>
        </r>
      </text>
    </comment>
    <comment ref="Y37" authorId="1" shapeId="0" xr:uid="{1B1833A6-5BBA-4B59-B52A-782567BDAAA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コモンチャージ：1,087.17
電気代：21.75
送金手数料：0.50</t>
        </r>
      </text>
    </comment>
    <comment ref="Z37" authorId="1" shapeId="0" xr:uid="{D16AFDEF-9C1A-4251-830B-25EAC74C8A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コモンチャージ：1,128.42
電気代：34.44
送金手数料：0.50</t>
        </r>
      </text>
    </comment>
    <comment ref="AA37" authorId="1" shapeId="0" xr:uid="{6534B002-2407-48B7-8CC4-DA12B68306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
コモンチャージ：1,128.42
電気代：32.50
送金手数料：0.50</t>
        </r>
      </text>
    </comment>
    <comment ref="AB37" authorId="1" shapeId="0" xr:uid="{12D9A839-4C33-4BB2-839B-E7AE1BBB6E2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</t>
        </r>
      </text>
    </comment>
    <comment ref="AC37" authorId="1" shapeId="0" xr:uid="{ABC89F06-CE75-4928-A997-D64CF2BBBDD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</t>
        </r>
      </text>
    </comment>
    <comment ref="AD37" authorId="1" shapeId="0" xr:uid="{ECC72D2F-494B-49FB-9DFC-FA28A1F3D5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固定資産税1/12：770.26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夏目 卓司</author>
    <author>倉又 淳一郎</author>
  </authors>
  <commentList>
    <comment ref="B6" authorId="0" shapeId="0" xr:uid="{11799693-0CAB-4D24-BE21-7465E53FEAC7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月額賃料：US＄4,300</t>
        </r>
      </text>
    </comment>
    <comment ref="D6" authorId="1" shapeId="0" xr:uid="{F8726CD7-B0D8-4D8F-8943-D2110B5993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その他家賃収入</t>
        </r>
      </text>
    </comment>
    <comment ref="F6" authorId="1" shapeId="0" xr:uid="{C93ABCF5-55B4-4AD0-8D32-CBBF920168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賃料：4,300</t>
        </r>
      </text>
    </comment>
    <comment ref="S6" authorId="1" shapeId="0" xr:uid="{05B4ACE7-C157-4E45-9894-0B48E79EE00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</t>
        </r>
      </text>
    </comment>
    <comment ref="B7" authorId="1" shapeId="0" xr:uid="{3461B2A6-3F57-44BF-88C0-F71BD509AD0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1" shapeId="0" xr:uid="{78FD776F-1BE8-466E-B58A-6EDEB46AAB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9" authorId="1" shapeId="0" xr:uid="{5E9515C9-86FA-4DDF-9F0E-36751A372A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C11" authorId="0" shapeId="0" xr:uid="{2D817E71-9E1B-4562-8BB7-DD97ADF02CD8}">
      <text>
        <r>
          <rPr>
            <b/>
            <sz val="9"/>
            <color indexed="81"/>
            <rFont val="MS P ゴシック"/>
            <family val="3"/>
            <charset val="128"/>
          </rPr>
          <t>管理手数料：＄63.27
19日分</t>
        </r>
      </text>
    </comment>
    <comment ref="D11" authorId="0" shapeId="0" xr:uid="{532642DC-AAB7-41ED-8B58-3AE665D5B661}">
      <text>
        <r>
          <rPr>
            <sz val="9"/>
            <color indexed="81"/>
            <rFont val="MS P ゴシック"/>
            <family val="3"/>
            <charset val="128"/>
          </rPr>
          <t>管理手数料：100</t>
        </r>
      </text>
    </comment>
    <comment ref="F11" authorId="0" shapeId="0" xr:uid="{82F7353F-F7D5-4B75-BEF3-E5133D0B00BE}">
      <text>
        <r>
          <rPr>
            <sz val="9"/>
            <color indexed="81"/>
            <rFont val="MS P ゴシック"/>
            <family val="3"/>
            <charset val="128"/>
          </rPr>
          <t>賃料：4,300　
管理費：6%</t>
        </r>
      </text>
    </comment>
    <comment ref="S11" authorId="1" shapeId="0" xr:uid="{6A31B73D-D7D3-42E6-BC5D-E79BCE5F59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賃料値上のため管理費変更
4,400×6％</t>
        </r>
      </text>
    </comment>
    <comment ref="B12" authorId="1" shapeId="0" xr:uid="{5FC8E375-1E9A-4282-981B-ADEF9A7425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
4th Quarter $2,247.58 /quarter (04/01/2024 - 06/30/2024)
(Apr. 12 closing) 80 days credit to seller (=$2,247.58 /91*80 days): $1,975.89
Legal Abstract LLC （タイトルカンパニーへの支払い。以下内訳。）
・Policy Premium: $3,131.00
・Recording Fees: $275.00
・Other Fees: $1,150.44
Lisa Stabile (Title Closer Fee) $300.00
D5 Law Office PLLC (Foreig Corporation Registration)
・Foreign Corporation Registration: $2,360.00
・Corporate Registry Extra Translation Fee:$200.00
D5 Law Office PLLC (Real Estate Transaction)
・Real Estate Transaction: $4,000.00
・Condominium Questionarier Fee (Reimbursement): $400.00
・Shipping and Administration Fee: $75.00</t>
        </r>
      </text>
    </comment>
    <comment ref="C12" authorId="1" shapeId="0" xr:uid="{B3751D36-847F-49FC-8F6D-9D59AD6488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（共益費調整):$993.87/ month
(Apr. 12 closing) 19 days credit to seller (=$993.87 /30*19 days): $629.45</t>
        </r>
      </text>
    </comment>
    <comment ref="D12" authorId="0" shapeId="0" xr:uid="{756AD308-ED77-4CBC-96AA-0A429D4CA9F1}">
      <text>
        <r>
          <rPr>
            <sz val="9"/>
            <color indexed="81"/>
            <rFont val="MS P ゴシック"/>
            <family val="3"/>
            <charset val="128"/>
          </rPr>
          <t>管理組合申請費：＄2,470.78
修繕費（居室）：＄5,548.44
保険料：＄702
銀行手数料：＄15
Greenwich Club Residences (Common Charge for May 2024): $993.87</t>
        </r>
      </text>
    </comment>
    <comment ref="E12" authorId="0" shapeId="0" xr:uid="{82875F46-2E10-428A-A0A2-CFAC209E0F0B}">
      <text>
        <r>
          <rPr>
            <b/>
            <sz val="9"/>
            <color indexed="81"/>
            <rFont val="MS P ゴシック"/>
            <family val="3"/>
            <charset val="128"/>
          </rPr>
          <t>管理組合日：＄993.87
修繕費（居室）：＄247.42
保険料：＄467.98</t>
        </r>
      </text>
    </comment>
    <comment ref="F12" authorId="0" shapeId="0" xr:uid="{FF897F47-0505-40E3-A8CE-921B33D0322B}">
      <text>
        <r>
          <rPr>
            <sz val="9"/>
            <color indexed="81"/>
            <rFont val="MS P ゴシック"/>
            <family val="3"/>
            <charset val="128"/>
          </rPr>
          <t>Common Charges：993.87
仲介手数料：4,300　　修繕費
1,563.45</t>
        </r>
      </text>
    </comment>
    <comment ref="H12" authorId="0" shapeId="0" xr:uid="{DCD375EF-D363-4EA7-B121-4FC8DA1CEB65}">
      <text>
        <r>
          <rPr>
            <sz val="9"/>
            <color indexed="81"/>
            <rFont val="MS P ゴシック"/>
            <family val="3"/>
            <charset val="128"/>
          </rPr>
          <t>Common Charge:
993.87
修繕費：822.55
電気費：144.57</t>
        </r>
      </text>
    </comment>
    <comment ref="I12" authorId="1" shapeId="0" xr:uid="{2FAC6CA5-2450-4768-8962-B088D74183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修繕積立金：49.13
固定資産：8,112.62
</t>
        </r>
      </text>
    </comment>
    <comment ref="J12" authorId="1" shapeId="0" xr:uid="{8F0C401C-DC25-4016-AE11-5C1D6F2F0A2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</t>
        </r>
      </text>
    </comment>
    <comment ref="K12" authorId="1" shapeId="0" xr:uid="{CE926986-BCBE-4FA4-94F3-6A9FBB15232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</t>
        </r>
      </text>
    </comment>
    <comment ref="L12" authorId="1" shapeId="0" xr:uid="{F70C10E4-1A15-42F8-A823-62CD3BE5BB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</t>
        </r>
      </text>
    </comment>
    <comment ref="M12" authorId="1" shapeId="0" xr:uid="{7A77E0E6-CDCD-4D24-8A31-517367BA4D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</t>
        </r>
      </text>
    </comment>
    <comment ref="N12" authorId="1" shapeId="0" xr:uid="{FAEFCA32-D6EC-4135-B75F-4E31DA6B5B9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</t>
        </r>
      </text>
    </comment>
    <comment ref="O12" authorId="1" shapeId="0" xr:uid="{FD300BE6-0CC2-45E0-9241-5CC4686A46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</t>
        </r>
      </text>
    </comment>
    <comment ref="P12" authorId="1" shapeId="0" xr:uid="{22669ADC-B25E-4FF1-BC43-71D97692CB8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</t>
        </r>
      </text>
    </comment>
    <comment ref="Q12" authorId="1" shapeId="0" xr:uid="{5FA84263-1A28-4439-94B5-B69BE82C85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</t>
        </r>
      </text>
    </comment>
    <comment ref="R12" authorId="1" shapeId="0" xr:uid="{6985EB96-EB7D-4BA9-8DEB-D67A52AF89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
更新手数料：200.00
固定資産税1年：11,043.63</t>
        </r>
      </text>
    </comment>
    <comment ref="S12" authorId="1" shapeId="0" xr:uid="{C9CB88F1-0B1F-4334-8267-F15942C044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
居室修繕費：2,623.80
保険料：932.88</t>
        </r>
      </text>
    </comment>
    <comment ref="U12" authorId="1" shapeId="0" xr:uid="{CA5DAA6C-4887-46AE-9AAE-2DE739E86F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修繕積立一時金：104.30</t>
        </r>
      </text>
    </comment>
    <comment ref="V12" authorId="1" shapeId="0" xr:uid="{99EB7D61-3FA6-4FF4-A3BE-D356A51FCFA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修繕積立一時金：104.30</t>
        </r>
      </text>
    </comment>
    <comment ref="W12" authorId="1" shapeId="0" xr:uid="{93316860-548B-45C7-9C8F-C008AEB2CA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修繕積立一時金：104.30
ガス漏れ探知機：70.00</t>
        </r>
      </text>
    </comment>
    <comment ref="X12" authorId="1" shapeId="0" xr:uid="{125E8C42-2FBF-409F-A034-BA8751F200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Y12" authorId="1" shapeId="0" xr:uid="{6A24FBDB-439B-4E25-910A-ED5F4E43A5D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Z12" authorId="1" shapeId="0" xr:uid="{CF5962FB-629B-4AC3-946F-1959D3076B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AA12" authorId="1" shapeId="0" xr:uid="{3BFFB516-CFCE-480C-BA40-A1CE8A29583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AB12" authorId="1" shapeId="0" xr:uid="{7B26BD96-96B0-4105-9356-75453F64977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AC12" authorId="1" shapeId="0" xr:uid="{58AF2968-8EF2-4AE7-A959-C898B5B62D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管理組合費：1,089.66
修繕積立一時金：201.59
修繕積立一時金2：104.30</t>
        </r>
      </text>
    </comment>
    <comment ref="B31" authorId="0" shapeId="0" xr:uid="{48FA195C-E53D-4DCC-A9B2-6D164EF65CFA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月額賃料：US＄4,300</t>
        </r>
      </text>
    </comment>
    <comment ref="D31" authorId="1" shapeId="0" xr:uid="{5A4F1D9A-0ACA-408F-89F9-55BBCC66B3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その他家賃収入</t>
        </r>
      </text>
    </comment>
    <comment ref="S31" authorId="1" shapeId="0" xr:uid="{2BA11FCC-93E9-41AB-BD47-7CB1A2A14E1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</t>
        </r>
      </text>
    </comment>
    <comment ref="B32" authorId="1" shapeId="0" xr:uid="{9B74B777-BDC9-4F29-9698-0816945BA53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1" shapeId="0" xr:uid="{D45CE2E1-E0E1-4DBF-9C57-5F513901BC7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B34" authorId="1" shapeId="0" xr:uid="{B2561C62-0276-44AB-9382-FAE5A3342A1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C36" authorId="0" shapeId="0" xr:uid="{0EE0FBAC-C428-418F-A45B-8ABFB22323B4}">
      <text>
        <r>
          <rPr>
            <b/>
            <sz val="9"/>
            <color indexed="81"/>
            <rFont val="MS P ゴシック"/>
            <family val="3"/>
            <charset val="128"/>
          </rPr>
          <t>管理手数料：＄63.27
19日分</t>
        </r>
      </text>
    </comment>
    <comment ref="D36" authorId="0" shapeId="0" xr:uid="{4BB321F8-88BA-4D77-95F5-617C668F01CD}">
      <text>
        <r>
          <rPr>
            <sz val="9"/>
            <color indexed="81"/>
            <rFont val="MS P ゴシック"/>
            <family val="3"/>
            <charset val="128"/>
          </rPr>
          <t>管理手数料：100</t>
        </r>
      </text>
    </comment>
    <comment ref="F36" authorId="0" shapeId="0" xr:uid="{3CC2F513-F310-4B5F-AD0C-D823720A955A}">
      <text>
        <r>
          <rPr>
            <sz val="9"/>
            <color indexed="81"/>
            <rFont val="MS P ゴシック"/>
            <family val="3"/>
            <charset val="128"/>
          </rPr>
          <t>管理費：6%</t>
        </r>
      </text>
    </comment>
    <comment ref="S36" authorId="1" shapeId="0" xr:uid="{50C61D2D-DF24-4FBB-9844-43C1F3C595D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賃料値上のため管理費変更
4,400×6％</t>
        </r>
      </text>
    </comment>
    <comment ref="B37" authorId="1" shapeId="0" xr:uid="{62F2CF92-9FE7-44F7-8677-8030A59461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
4th Quarter $2,247.58 /quarter (04/01/2024 - 06/30/2024)
(Apr. 12 closing) 80 days credit to seller (=$2,247.58 /91*80 days): $1,975.89
Legal Abstract LLC （タイトルカンパニーへの支払い。以下内訳。）
・Policy Premium: $3,131.00
・Recording Fees: $275.00
・Other Fees: $1,150.44
Lisa Stabile (Title Closer Fee) $300.00
D5 Law Office PLLC (Foreig Corporation Registration)
・Foreign Corporation Registration: $2,360.00
・Corporate Registry Extra Translation Fee:$200.00
D5 Law Office PLLC (Real Estate Transaction)
・Real Estate Transaction: $4,000.00
・Condominium Questionarier Fee (Reimbursement): $400.00
・Shipping and Administration Fee: $75.00</t>
        </r>
      </text>
    </comment>
    <comment ref="C37" authorId="1" shapeId="0" xr:uid="{33DFB1BB-716F-470E-93F4-92E2129AC4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（共益費調整):$993.87/ month
(Apr. 12 closing) 19 days credit to seller (=$993.87 /30*19 days): $629.45</t>
        </r>
      </text>
    </comment>
    <comment ref="D37" authorId="0" shapeId="0" xr:uid="{DCA41B14-F5A3-4CA5-9728-DCCBA8E2B73A}">
      <text>
        <r>
          <rPr>
            <b/>
            <sz val="9"/>
            <color indexed="81"/>
            <rFont val="MS P ゴシック"/>
            <family val="3"/>
            <charset val="128"/>
          </rPr>
          <t>管理組合申請費：＄2,470.78
修繕費（居室）：＄5,548.44
保険料：＄702
銀行手数料：＄15
Greenwich Club Residences (Common Charge for May 2024): $993.87</t>
        </r>
      </text>
    </comment>
    <comment ref="E37" authorId="0" shapeId="0" xr:uid="{6A66C05B-C0E0-4E17-BFC2-41F16BFC41F9}">
      <text>
        <r>
          <rPr>
            <b/>
            <sz val="9"/>
            <color indexed="81"/>
            <rFont val="MS P ゴシック"/>
            <family val="3"/>
            <charset val="128"/>
          </rPr>
          <t>管理組合日：＄993.87
修繕費（居室）：＄247.42
保険料：＄467.98</t>
        </r>
      </text>
    </comment>
    <comment ref="F37" authorId="0" shapeId="0" xr:uid="{79E7A8A2-56D2-47CA-B2B3-667F1111017E}">
      <text>
        <r>
          <rPr>
            <sz val="9"/>
            <color indexed="81"/>
            <rFont val="MS P ゴシック"/>
            <family val="3"/>
            <charset val="128"/>
          </rPr>
          <t>Common Charges：993.87
仲介手数料：4,300　　修繕費
1,563.45</t>
        </r>
      </text>
    </comment>
    <comment ref="H37" authorId="0" shapeId="0" xr:uid="{E463FEB0-0C4E-4804-9ECD-6AD1E7B69B0D}">
      <text>
        <r>
          <rPr>
            <sz val="9"/>
            <color indexed="81"/>
            <rFont val="MS P ゴシック"/>
            <family val="3"/>
            <charset val="128"/>
          </rPr>
          <t>Common Charge:
993.87
修繕費：822.55
電気費：144.57</t>
        </r>
      </text>
    </comment>
    <comment ref="I37" authorId="1" shapeId="0" xr:uid="{931B15B5-D81F-4E27-BC39-B7C1A0153FB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修繕積立金：49.13
固定資産：901.34
</t>
        </r>
      </text>
    </comment>
    <comment ref="J37" authorId="1" shapeId="0" xr:uid="{432054BD-DFED-4E5E-BDBB-41D99935F4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固定資産：901.41</t>
        </r>
      </text>
    </comment>
    <comment ref="K37" authorId="1" shapeId="0" xr:uid="{812B9DAD-81E9-4D7A-A38B-3E8CD5820C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</t>
        </r>
      </text>
    </comment>
    <comment ref="L37" authorId="1" shapeId="0" xr:uid="{94F1BE6B-442F-4A17-946E-01B48F4916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</t>
        </r>
      </text>
    </comment>
    <comment ref="M37" authorId="1" shapeId="0" xr:uid="{272D7B3F-F9BD-4ABE-A1BA-60B7E22FDB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</t>
        </r>
      </text>
    </comment>
    <comment ref="N37" authorId="1" shapeId="0" xr:uid="{2E46FADD-0B1B-4AA4-BD9A-83277DB1289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</t>
        </r>
      </text>
    </comment>
    <comment ref="O37" authorId="1" shapeId="0" xr:uid="{31F8F574-A25F-4356-8AA1-1B519AD8B03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
修繕積立一時金：104.30</t>
        </r>
      </text>
    </comment>
    <comment ref="P37" authorId="1" shapeId="0" xr:uid="{764B0A40-020E-4548-930A-3AC8104AD44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
修繕積立一時金：104.30</t>
        </r>
      </text>
    </comment>
    <comment ref="Q37" authorId="1" shapeId="0" xr:uid="{A6C3B9A5-C421-42E7-BA20-BC6CF10F96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固定資産：901.41
管理組合費：1,043.00
修繕積立一時金：104.30</t>
        </r>
      </text>
    </comment>
    <comment ref="R37" authorId="1" shapeId="0" xr:uid="{3084232B-1DE2-4300-B79C-E0A33ABAF4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管理組合費：1,043.00
修繕積立一時金：104.30
更新手数料：200.00
固定資産税1/12：920.33</t>
        </r>
      </text>
    </comment>
    <comment ref="S37" authorId="1" shapeId="0" xr:uid="{9AAF74AC-C1D0-4298-9C80-B0E105370A3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管理組合費：1,043.00
修繕積立一時金：104.30
居室修繕費：2,623.80
保険料：932.88</t>
        </r>
      </text>
    </comment>
    <comment ref="U37" authorId="1" shapeId="0" xr:uid="{EB98A814-8A3A-4D0D-85AA-76E0917CC23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修繕積立一時金：104.30</t>
        </r>
      </text>
    </comment>
    <comment ref="V37" authorId="1" shapeId="0" xr:uid="{D61B9B4E-8569-4920-A05F-2C708537E2E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修繕積立一時金：104.30</t>
        </r>
      </text>
    </comment>
    <comment ref="W37" authorId="1" shapeId="0" xr:uid="{565CBEC8-08E8-4843-B9AD-AEB7AB6257E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修繕積立一時金：104.30
ガス漏れ探知機：70.00</t>
        </r>
      </text>
    </comment>
    <comment ref="X37" authorId="1" shapeId="0" xr:uid="{E3AAD9E0-8221-4341-9C39-1221FCBB64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修繕積立一時金：201.59
修繕積立一時金2：104.30</t>
        </r>
      </text>
    </comment>
    <comment ref="Y37" authorId="1" shapeId="0" xr:uid="{A2F20691-1B7A-472A-A703-149788FE6E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修繕積立一時金：201.59
修繕積立一時金2：104.30</t>
        </r>
      </text>
    </comment>
    <comment ref="Z37" authorId="1" shapeId="0" xr:uid="{91A0A7A0-92D5-4F1F-8113-BB82D620E5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修繕積立一時金：201.59
修繕積立一時金2：104.30</t>
        </r>
      </text>
    </comment>
    <comment ref="AA37" authorId="1" shapeId="0" xr:uid="{1979395D-4E81-485D-AAC6-8CE9967A51A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
管理組合費：1,089.66
修繕積立一時金：201.59
修繕積立一時金2：104.30</t>
        </r>
      </text>
    </comment>
    <comment ref="AB37" authorId="1" shapeId="0" xr:uid="{578A12F6-337F-48A5-97D4-DBFE06B7968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</t>
        </r>
      </text>
    </comment>
    <comment ref="AC37" authorId="1" shapeId="0" xr:uid="{F04281A5-6B9D-47E9-A0BD-99E6BCA92E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</t>
        </r>
      </text>
    </comment>
    <comment ref="AD37" authorId="1" shapeId="0" xr:uid="{2605F163-B44D-4BD1-9FCE-95243415C7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固定資産税1/12：920.30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夏目 卓司</author>
    <author>倉又 淳一郎</author>
  </authors>
  <commentList>
    <comment ref="B6" authorId="0" shapeId="0" xr:uid="{E60216B0-215C-46ED-8ACF-AEF35A90536D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月額賃料：US＄4,500
賃料変更：＄4,575
賃料変更：＄4,650</t>
        </r>
      </text>
    </comment>
    <comment ref="D6" authorId="1" shapeId="0" xr:uid="{DE575E67-DC40-41EA-AB52-EF50531CE4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(May): $4,500.00/month (occupied till 09/10/2024)
(May 31 closing) 1 day credit to purchaser (=$4,500.00 /31* 1day)</t>
        </r>
      </text>
    </comment>
    <comment ref="E6" authorId="1" shapeId="0" xr:uid="{A6E4D168-7110-4B73-82D1-322856383C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for June 2024 (Reimbursement) credit to purchaser</t>
        </r>
      </text>
    </comment>
    <comment ref="I6" authorId="1" shapeId="0" xr:uid="{CB7CA040-0527-459A-A0C1-C4ACF92F1DD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
新賃料：4,575
</t>
        </r>
      </text>
    </comment>
    <comment ref="V6" authorId="1" shapeId="0" xr:uid="{E6D11AA3-9C3F-462D-B1B8-37A3EF95EC6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賃料アップ</t>
        </r>
      </text>
    </comment>
    <comment ref="B7" authorId="1" shapeId="0" xr:uid="{C8BC36BE-DB14-4A13-81BB-B8E612B6E7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1" shapeId="0" xr:uid="{1ABE1381-AB19-44EF-B335-592A81C476B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F11" authorId="0" shapeId="0" xr:uid="{CFE670AE-C8E1-44EE-BC04-68BD01F9F9F6}">
      <text>
        <r>
          <rPr>
            <sz val="9"/>
            <color indexed="81"/>
            <rFont val="MS P ゴシック"/>
            <family val="3"/>
            <charset val="128"/>
          </rPr>
          <t>管理手数料：6%</t>
        </r>
      </text>
    </comment>
    <comment ref="I11" authorId="1" shapeId="0" xr:uid="{E0191B2A-B446-43D7-8622-B98C6AC2DCE2}">
      <text>
        <r>
          <rPr>
            <b/>
            <sz val="9"/>
            <color indexed="81"/>
            <rFont val="MS P ゴシック"/>
            <family val="3"/>
            <charset val="128"/>
          </rPr>
          <t>倉又 淳一郎:
賃料変更のため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管理手数料6％のまま
4,575×0.06</t>
        </r>
      </text>
    </comment>
    <comment ref="V11" authorId="1" shapeId="0" xr:uid="{53A4DBDB-28DF-463F-8D27-2569B26A9D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賃料アップのため
4.650×6％</t>
        </r>
      </text>
    </comment>
    <comment ref="B12" authorId="1" shapeId="0" xr:uid="{250839EB-A605-4F85-8622-F5C81F0BD9D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$3,108.05/ Quater
(May 31 closing) 31 days credit to seller (=$3,108.05/91*31 days): $1,058.79
Legal Abstract, LLC 
・Policy Premium: $3,635.00
・Recording Fees: $275.00
・Other Fees: $1,204.88
Starts New York Realty, LLC (Reimbursements)
・Application Fee: $750.00
・Consumer Report Fee: $160.00
・Digital Documents Retention Fee: $112.50
・Service Fee: $30.16
Tenant Lease Security Deposit $4,500.00
Lisa Stabile (Title Closer Fee) $300.00
D5 Law Office PLLC (Legal fee and expenses)
・Legal fee for real estate transaction: $4,000.00
・Shipping and Aministrative Fees: $75.00
</t>
        </r>
      </text>
    </comment>
    <comment ref="D12" authorId="1" shapeId="0" xr:uid="{C4BAB0E0-50FE-4EE4-9672-4401EB445A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:$1,133.38/ month
(May 31 closing) 1 day credit to seller(=$1,133.38/31*1 day): $36.56</t>
        </r>
      </text>
    </comment>
    <comment ref="E12" authorId="1" shapeId="0" xr:uid="{176845E2-B370-467F-AC37-C9CAB8674B6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Greenwich Club Residences (Common Charnge for June 2024): $1,133.38</t>
        </r>
      </text>
    </comment>
    <comment ref="F12" authorId="0" shapeId="0" xr:uid="{0160B0C3-A2A9-4F7B-A9FF-BCB6FDD53890}">
      <text>
        <r>
          <rPr>
            <sz val="9"/>
            <color indexed="81"/>
            <rFont val="MS P ゴシック"/>
            <family val="3"/>
            <charset val="128"/>
          </rPr>
          <t>Common Charges：1,133.38
修繕費：43.52</t>
        </r>
      </text>
    </comment>
    <comment ref="H12" authorId="0" shapeId="0" xr:uid="{85720587-364D-4B45-927E-621B0340D3F9}">
      <text>
        <r>
          <rPr>
            <sz val="9"/>
            <color indexed="81"/>
            <rFont val="MS P ゴシック"/>
            <family val="3"/>
            <charset val="128"/>
          </rPr>
          <t>Common Charge:
1133.38
管理組合申請費：
154.5
仲介手数料：200
修繕費：1380.47
保険料：1063.65</t>
        </r>
      </text>
    </comment>
    <comment ref="I12" authorId="1" shapeId="0" xr:uid="{D852A150-1E33-4677-AC2C-C3D66D8E88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修繕積立金：56.03
固定資産：9,255.38</t>
        </r>
      </text>
    </comment>
    <comment ref="J12" authorId="1" shapeId="0" xr:uid="{1BDACF30-02BD-45F7-BC21-5D4830E173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修繕費：300</t>
        </r>
      </text>
    </comment>
    <comment ref="K12" authorId="1" shapeId="0" xr:uid="{052FCA38-E4E8-4A87-84F4-9FD42EF1F63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</t>
        </r>
      </text>
    </comment>
    <comment ref="L12" authorId="1" shapeId="0" xr:uid="{7AA472B4-97B3-49AD-B286-FF6F4008A06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</t>
        </r>
      </text>
    </comment>
    <comment ref="M12" authorId="1" shapeId="0" xr:uid="{F0F689CA-A1A0-4671-8CE6-4F485C3CCF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</t>
        </r>
      </text>
    </comment>
    <comment ref="N12" authorId="1" shapeId="0" xr:uid="{9058D878-75CF-43AF-868A-1207F6E8EEE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</t>
        </r>
      </text>
    </comment>
    <comment ref="O12" authorId="1" shapeId="0" xr:uid="{00D04B43-B173-4613-BB19-9AB96E24156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</t>
        </r>
      </text>
    </comment>
    <comment ref="P12" authorId="1" shapeId="0" xr:uid="{7C0D245A-0180-41F8-A6A0-5A415942DCC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
居室修繕費：538.93</t>
        </r>
      </text>
    </comment>
    <comment ref="Q12" authorId="1" shapeId="0" xr:uid="{43363C03-359C-449C-9836-03032DDA7D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</t>
        </r>
      </text>
    </comment>
    <comment ref="R12" authorId="1" shapeId="0" xr:uid="{123EA5A4-11FC-48C4-AB8C-90D8AC2156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
固定資産税1年：12,599.36
エアコン交換：11,975.72
</t>
        </r>
      </text>
    </comment>
    <comment ref="S12" authorId="1" shapeId="0" xr:uid="{45382B80-080F-4BDF-AA12-79053E27E26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</t>
        </r>
      </text>
    </comment>
    <comment ref="U12" authorId="1" shapeId="0" xr:uid="{B7FD2D8B-F20B-4AF6-8D33-FD8F5F28091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保険料：945.44</t>
        </r>
      </text>
    </comment>
    <comment ref="V12" authorId="1" shapeId="0" xr:uid="{B7DBEC90-D495-40B4-9055-2B9D45B9E7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</t>
        </r>
      </text>
    </comment>
    <comment ref="W12" authorId="1" shapeId="0" xr:uid="{13882037-0F9C-4447-9594-C4D4128A693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ガス漏れ探知機：70.00</t>
        </r>
      </text>
    </comment>
    <comment ref="X12" authorId="1" shapeId="0" xr:uid="{FDE35200-0946-4788-924C-8815FEDD15E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Y12" authorId="1" shapeId="0" xr:uid="{84623AFA-1C5C-4EAC-9EAF-B0CB349637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Z12" authorId="1" shapeId="0" xr:uid="{AE589D6E-31EA-441F-8F9C-4339294399B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AA12" authorId="1" shapeId="0" xr:uid="{8275D81C-6951-4CB2-92EF-F2EFF067C65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AB12" authorId="1" shapeId="0" xr:uid="{08D5A701-01C6-494E-917B-50A02C3879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AC12" authorId="1" shapeId="0" xr:uid="{68F9D5AA-6385-4FB1-B7AF-48C7A58B7FB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管理組合費：1,242.62
修繕積立一時金：118.94
修繕積立一時金2：229.88</t>
        </r>
      </text>
    </comment>
    <comment ref="B31" authorId="0" shapeId="0" xr:uid="{76713CFA-9F7F-4A9A-A24D-696AA1123717}">
      <text>
        <r>
          <rPr>
            <b/>
            <sz val="9"/>
            <color indexed="81"/>
            <rFont val="MS P ゴシック"/>
            <family val="3"/>
            <charset val="128"/>
          </rPr>
          <t>夏目 卓司:</t>
        </r>
        <r>
          <rPr>
            <sz val="9"/>
            <color indexed="81"/>
            <rFont val="MS P ゴシック"/>
            <family val="3"/>
            <charset val="128"/>
          </rPr>
          <t xml:space="preserve">
月額賃料：US＄4,500
賃料変更：＄4,575</t>
        </r>
      </text>
    </comment>
    <comment ref="D31" authorId="1" shapeId="0" xr:uid="{573257C3-042D-4E94-9C6E-B27B67F684A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(May): $4,500.00/month (occupied till 09/10/2024)
(May 31 closing) 1 day credit to purchaser (=$4,500.00 /31* 1day)</t>
        </r>
      </text>
    </comment>
    <comment ref="E31" authorId="1" shapeId="0" xr:uid="{7867B74B-C068-4494-9A06-5DFA52ABCA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for June 2024 (Reimbursement) credit to purchaser</t>
        </r>
      </text>
    </comment>
    <comment ref="I31" authorId="1" shapeId="0" xr:uid="{64EA5B11-BDBC-413E-8E37-1D8D26CBA77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賃料値上
新賃料：4,575
</t>
        </r>
      </text>
    </comment>
    <comment ref="V31" authorId="1" shapeId="0" xr:uid="{F11FC3B0-F6B7-4AFF-A33A-56647E8365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賃料アップ</t>
        </r>
      </text>
    </comment>
    <comment ref="B32" authorId="1" shapeId="0" xr:uid="{DD9F74D7-76FB-4CC1-A633-A4B2A122E83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1" shapeId="0" xr:uid="{147343FD-3F90-428C-9BDD-0BA36E36BEC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F36" authorId="0" shapeId="0" xr:uid="{6C4CAFF8-B4B2-4799-BB63-87EF8E2B5301}">
      <text>
        <r>
          <rPr>
            <sz val="9"/>
            <color indexed="81"/>
            <rFont val="MS P ゴシック"/>
            <family val="3"/>
            <charset val="128"/>
          </rPr>
          <t>管理手数料：6%</t>
        </r>
      </text>
    </comment>
    <comment ref="I36" authorId="1" shapeId="0" xr:uid="{52C5C789-B90C-42DE-8558-FFFA89C8800A}">
      <text>
        <r>
          <rPr>
            <b/>
            <sz val="9"/>
            <color indexed="81"/>
            <rFont val="MS P ゴシック"/>
            <family val="3"/>
            <charset val="128"/>
          </rPr>
          <t>倉又 淳一郎:
賃料変更のため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管理手数料6％のまま
4,575×0.06</t>
        </r>
      </text>
    </comment>
    <comment ref="V36" authorId="1" shapeId="0" xr:uid="{C54656A8-DA47-4209-880A-6758308A5B8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賃料アップのため
4.650×6％</t>
        </r>
      </text>
    </comment>
    <comment ref="B37" authorId="1" shapeId="0" xr:uid="{9D8F0D33-A2FA-4BBB-983B-2A9B38482F1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$3,108.05/ Quater
(May 31 closing) 31 days credit to seller (=$3,108.05/91*31 days): $1,058.79
Legal Abstract, LLC 
・Policy Premium: $3,635.00
・Recording Fees: $275.00
・Other Fees: $1,204.88
Starts New York Realty, LLC (Reimbursements)
・Application Fee: $750.00
・Consumer Report Fee: $160.00
・Digital Documents Retention Fee: $112.50
・Service Fee: $30.16
Tenant Lease Security Deposit $4,500.00
Lisa Stabile (Title Closer Fee) $300.00
D5 Law Office PLLC (Legal fee and expenses)
・Legal fee for real estate transaction: $4,000.00
・Shipping and Aministrative Fees: $75.00
</t>
        </r>
      </text>
    </comment>
    <comment ref="D37" authorId="1" shapeId="0" xr:uid="{02C4CEF9-7B13-4FF2-8EA8-DB1A71E3C6F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:$1,133.38/ month
(May 31 closing) 1 day credit to seller(=$1,133.38/31*1 day): $36.56</t>
        </r>
      </text>
    </comment>
    <comment ref="E37" authorId="1" shapeId="0" xr:uid="{6A2A31AE-0C46-4F4A-A5AC-4930A7F766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Greenwich Club Residences (Common Charnge for June 2024): $1,133.38</t>
        </r>
      </text>
    </comment>
    <comment ref="F37" authorId="0" shapeId="0" xr:uid="{4C41D3B2-84ED-4628-A00E-EB59BF24D280}">
      <text>
        <r>
          <rPr>
            <sz val="9"/>
            <color indexed="81"/>
            <rFont val="MS P ゴシック"/>
            <family val="3"/>
            <charset val="128"/>
          </rPr>
          <t>Common Charges：1,133.38
修繕費：43.52</t>
        </r>
      </text>
    </comment>
    <comment ref="H37" authorId="0" shapeId="0" xr:uid="{8F0AD92C-7D08-433E-9E4B-7DCF676A26C9}">
      <text>
        <r>
          <rPr>
            <sz val="9"/>
            <color indexed="81"/>
            <rFont val="MS P ゴシック"/>
            <family val="3"/>
            <charset val="128"/>
          </rPr>
          <t>Common Charge:
1133.38
管理組合申請費：
154.5
仲介手数料：200
修繕費：1380.47
保険料：1063.65</t>
        </r>
      </text>
    </comment>
    <comment ref="I37" authorId="1" shapeId="0" xr:uid="{8BF10AC3-4E63-4352-8BD8-66A700A58C1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修繕積立金：56.03
固定資産：1028.34</t>
        </r>
      </text>
    </comment>
    <comment ref="J37" authorId="1" shapeId="0" xr:uid="{84F18999-C4CD-4E41-855F-C26D8764E5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修繕費：300
固定資産：1028.38</t>
        </r>
      </text>
    </comment>
    <comment ref="K37" authorId="1" shapeId="0" xr:uid="{BBAA9FAF-4F1D-47D1-B028-682648309F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</t>
        </r>
      </text>
    </comment>
    <comment ref="L37" authorId="1" shapeId="0" xr:uid="{400BEAC2-4F2A-4EF4-9007-ED5C21EAFA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</t>
        </r>
      </text>
    </comment>
    <comment ref="M37" authorId="1" shapeId="0" xr:uid="{6B957ED0-A162-464A-9D8F-61E28D0FEA0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</t>
        </r>
      </text>
    </comment>
    <comment ref="N37" authorId="1" shapeId="0" xr:uid="{487FAD27-CDB4-4F43-A6BD-150D4D8490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</t>
        </r>
      </text>
    </comment>
    <comment ref="O37" authorId="1" shapeId="0" xr:uid="{C6E15155-C278-4077-9A09-17365EF427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
修繕積立一時金：118.94</t>
        </r>
      </text>
    </comment>
    <comment ref="P37" authorId="1" shapeId="0" xr:uid="{874A2A4D-04C1-4615-8285-C7068F2ECB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
修繕積立一時金：118.94
居室修繕費：538.93</t>
        </r>
      </text>
    </comment>
    <comment ref="Q37" authorId="1" shapeId="0" xr:uid="{0546B9EC-945E-4B75-A0AC-F21E9AF440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固定資産：1028.38
管理組合費：1,189.41
修繕積立一時金：118.94</t>
        </r>
      </text>
    </comment>
    <comment ref="R37" authorId="1" shapeId="0" xr:uid="{0808F9D9-C501-4BD3-9D50-3F71FB48E1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管理組合費：1,189.41
修繕積立一時金：118.94
固定資産税1/12：1,049.91
エアコン交換：11,975.72
</t>
        </r>
      </text>
    </comment>
    <comment ref="S37" authorId="1" shapeId="0" xr:uid="{10A892D5-0EB6-4531-BC8A-63C0A9CE293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管理組合費：1,189.41
修繕積立一時金：118.94
</t>
        </r>
      </text>
    </comment>
    <comment ref="U37" authorId="1" shapeId="0" xr:uid="{56173614-C2AD-4EB3-9C34-F3BD62E08C5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保険料：945.44
</t>
        </r>
      </text>
    </comment>
    <comment ref="V37" authorId="1" shapeId="0" xr:uid="{377BE027-7660-4D20-B1F5-D7525865E66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</t>
        </r>
      </text>
    </comment>
    <comment ref="W37" authorId="1" shapeId="0" xr:uid="{F5809038-CE6C-4915-B9CF-B4430E45AE5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ガス漏れ探知機：70.00</t>
        </r>
      </text>
    </comment>
    <comment ref="X37" authorId="1" shapeId="0" xr:uid="{46D03605-55D5-4568-805F-B47911426B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修繕積立一時金2：229.88
</t>
        </r>
      </text>
    </comment>
    <comment ref="Y37" authorId="1" shapeId="0" xr:uid="{4DE422AD-6989-45DB-B151-E771715D86B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修繕積立一時金2：229.88
</t>
        </r>
      </text>
    </comment>
    <comment ref="Z37" authorId="1" shapeId="0" xr:uid="{A2238911-2913-41A7-AEE7-437C7333256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修繕積立一時金2：229.88
</t>
        </r>
      </text>
    </comment>
    <comment ref="AA37" authorId="1" shapeId="0" xr:uid="{784B727E-C53B-4111-9A11-716CD5A4220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管理組合費：1,242.62
修繕積立一時金：118.94
修繕積立一時金2：229.88
</t>
        </r>
      </text>
    </comment>
    <comment ref="AB37" authorId="1" shapeId="0" xr:uid="{7072902F-0AC3-479D-BA2D-98E3915C0DC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</t>
        </r>
      </text>
    </comment>
    <comment ref="AC37" authorId="1" shapeId="0" xr:uid="{920EA841-3260-4AC5-9729-5E5842381C8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</t>
        </r>
      </text>
    </comment>
    <comment ref="AD37" authorId="1" shapeId="0" xr:uid="{29F8E80C-4499-48CA-9A65-5F5C9536468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固定資産税1/12：1,049.95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夏目 卓司</author>
  </authors>
  <commentList>
    <comment ref="F6" authorId="0" shapeId="0" xr:uid="{3D2257A0-71F9-4D47-9EDE-A24F7208B4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: $4,200.00/month (occupied till 03/31/2025)
(Jul. 8 closing) 24 days credit to buyer (=$4,200.00 /31*24 days): $3,251.52
Electric Bill Adjustment (estimate based on latest charge)
$40.69*3 months (May-Jul. 2024)=$122.07 (estimated amount)
(Jul.8 closing) 68 days credit to buyer(=$122.07/92*68 days): $90.44
</t>
        </r>
      </text>
    </comment>
    <comment ref="H6" authorId="0" shapeId="0" xr:uid="{F82A72FA-289F-4D86-9FB9-40C7A6CB2C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tenant:4,200.00</t>
        </r>
      </text>
    </comment>
    <comment ref="J6" authorId="0" shapeId="0" xr:uid="{7A1D1FC5-02FE-4280-908D-5B93FE3FD5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Tenant:4,200.00 
Refunds Electricity: 07/08/2024 -07/30/2024: 57.46</t>
        </r>
      </text>
    </comment>
    <comment ref="K6" authorId="0" shapeId="0" xr:uid="{27DEFBA4-96AA-46C9-8639-B3C8596272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Tenant:4,200.00 
Refunds Electricity: 07/30/2024 -08/28/2024:75.71</t>
        </r>
      </text>
    </comment>
    <comment ref="L6" authorId="0" shapeId="0" xr:uid="{BF47578D-43FD-4A68-ABEF-ED50F0DCD48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4,200.00
Refunds - December 2024 - Electricity: 08/28/2024-09/27/2024 :57.57
</t>
        </r>
      </text>
    </comment>
    <comment ref="M6" authorId="0" shapeId="0" xr:uid="{B6B59EA1-F299-426C-BA26-9CDC794347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 :4,200.00
Refunds - January 2025 - Electricity: 09/27/2024 -10/28/2024:52.07</t>
        </r>
      </text>
    </comment>
    <comment ref="N6" authorId="0" shapeId="0" xr:uid="{8E850914-FC0A-4065-9F32-99F26C786A5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February 2025 4,200.00
Refunds - February 2025 - Electricity: 10/28/2024 -11/27/2024 :41.27</t>
        </r>
      </text>
    </comment>
    <comment ref="O6" authorId="0" shapeId="0" xr:uid="{3B7B051E-D61C-45DD-801E-615F64307B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 4,200.00
Refunds電気代 :37.91</t>
        </r>
      </text>
    </comment>
    <comment ref="P6" authorId="0" shapeId="0" xr:uid="{83D99645-8EFB-41C4-B80C-47CDCD7DDC0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Refunds電気代：29.46</t>
        </r>
      </text>
    </comment>
    <comment ref="Q6" authorId="0" shapeId="0" xr:uid="{9D557CA6-B451-4F19-92DD-CFC79F2037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Refunds：39.11</t>
        </r>
      </text>
    </comment>
    <comment ref="R6" authorId="0" shapeId="0" xr:uid="{F740F9C2-93F2-425F-A719-8EBFFEED3E9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Refunds：35.38</t>
        </r>
      </text>
    </comment>
    <comment ref="S6" authorId="0" shapeId="0" xr:uid="{E9951248-D154-47AC-A4A5-E2991FC9A0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Refunds：39.98</t>
        </r>
      </text>
    </comment>
    <comment ref="U6" authorId="0" shapeId="0" xr:uid="{19199C4C-10E0-4A5D-A592-6EAE2059E1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電気代払戻し：79.15</t>
        </r>
      </text>
    </comment>
    <comment ref="V6" authorId="0" shapeId="0" xr:uid="{1AF49BB8-C064-417D-9EE1-0B744E88E7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電気代払戻し：91.49</t>
        </r>
      </text>
    </comment>
    <comment ref="W6" authorId="0" shapeId="0" xr:uid="{83CC28A4-D9F4-4CCA-A4C2-70B24D6F0DB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払戻し：96.53</t>
        </r>
      </text>
    </comment>
    <comment ref="X6" authorId="0" shapeId="0" xr:uid="{A37FDCA6-3C5D-474B-8468-C83261AF55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払戻し：86.81</t>
        </r>
      </text>
    </comment>
    <comment ref="Y6" authorId="0" shapeId="0" xr:uid="{C54942AC-C7DF-48AA-87AC-F74E86BF77E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払戻し：91.39</t>
        </r>
      </text>
    </comment>
    <comment ref="Z6" authorId="0" shapeId="0" xr:uid="{90A0B5A4-5DD8-48E2-ACEB-8BDC8B0782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払戻し：51.99</t>
        </r>
      </text>
    </comment>
    <comment ref="AA6" authorId="0" shapeId="0" xr:uid="{3D9DDA51-2FCD-4486-BA87-6CFA896C3A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払戻し：51.19</t>
        </r>
      </text>
    </comment>
    <comment ref="AB6" authorId="0" shapeId="0" xr:uid="{52CC9D72-1278-48CD-8FBF-50DB676EFC0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払戻し：43.99</t>
        </r>
      </text>
    </comment>
    <comment ref="B7" authorId="0" shapeId="0" xr:uid="{1158F1BF-5300-46F1-B757-C07E73500B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2AE848D9-2228-4BE9-8624-AAB841317DE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F11" authorId="1" shapeId="0" xr:uid="{0782C534-794E-466A-9B01-48D078BE1897}">
      <text>
        <r>
          <rPr>
            <sz val="9"/>
            <color indexed="81"/>
            <rFont val="MS P ゴシック"/>
            <family val="3"/>
            <charset val="128"/>
          </rPr>
          <t>Management Fees Initial Set-up Fee</t>
        </r>
      </text>
    </comment>
    <comment ref="H11" authorId="0" shapeId="0" xr:uid="{3A4C5FFF-AC5F-4B38-A715-5B05BED576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管理手数料8％
4200ドル×0.08</t>
        </r>
      </text>
    </comment>
    <comment ref="P11" authorId="0" shapeId="0" xr:uid="{01F97F97-14CF-471E-9681-0E9D79F5265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新管理手数料8％：348.00</t>
        </r>
      </text>
    </comment>
    <comment ref="S11" authorId="0" shapeId="0" xr:uid="{972767BF-3AFF-4C66-B11A-8B763E0BF6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4,350×7％</t>
        </r>
      </text>
    </comment>
    <comment ref="B12" authorId="0" shapeId="0" xr:uid="{CDC1B106-D2B2-4D9F-822A-4B18D90F1E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$2,157.07/ Quater
(Jul.8 closing) 85 days credit to seller (=$2,157.07/92*85 days): $1,993.25
Legal Abstract, LLC 
・Policy Premium: $3,568.00
・Endorsement: $50.00
・Recording Fees: $275.00
・Other Fees: $1,275.44
Relo Redac, Inc. (Management Reserve Fee): $7,000.00
Relo Redac, Inc. (Closing Coordination Fee): $9,770.60
Relo Redac, Inc. (Reimbursements)
・Attorney Fee: $2,000.00
・FedEx Fees: $ 29.57
・Board Application Initiation Fee: $65.00
・Homeowner’s Insurance Fee: $ 523.00
・Messenger Fee:$35.76
・Board Package Fee: $1,052.50
Lisa Stabile (Title Closer Fee): $300.00
D5 Law Office PLLC (Legal fee and expenses)
・Remainder of legal fee for real estate transaction: $2,000.00
・Shipping and Administrative Fees: $75.00
・Condo Questionnaire Fee (Reimbursement): $131.25
</t>
        </r>
      </text>
    </comment>
    <comment ref="F12" authorId="1" shapeId="0" xr:uid="{54ED2369-8098-4D6E-9C61-3BB579CAE554}">
      <text>
        <r>
          <rPr>
            <sz val="9"/>
            <color indexed="81"/>
            <rFont val="MS P ゴシック"/>
            <family val="3"/>
            <charset val="128"/>
          </rPr>
          <t>Bank Charges：12
Common Charge Adjustment :$574.75/ month
(Jul. 8 closing) 24 days credit to seller(=$574.75/31* 24 days): $444.96</t>
        </r>
      </text>
    </comment>
    <comment ref="H12" authorId="0" shapeId="0" xr:uid="{C3BE65D1-8CF2-4DF5-8453-81448EF9162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Charges:574.75
Common Charges Capital Assessment:176.56
Electric, Gas, Fuel, Oil and Other Utilities:81.03</t>
        </r>
      </text>
    </comment>
    <comment ref="I12" authorId="0" shapeId="0" xr:uid="{D85D5244-AA39-481C-933A-E13CA6DB3E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Charges:574.75
Common Charges Capital Assessment:176.56
Common Charges Capital Assessment 115M:83.55
Electric, Gas, Fuel, Oil and Other Utilities:82.44
Real Estate Taxes:6,449.86
Bank Charges:12</t>
        </r>
      </text>
    </comment>
    <comment ref="J12" authorId="0" shapeId="0" xr:uid="{A5445050-520C-4968-B0A3-704238681C6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574.75
Common Charges -Capital Assessment: 176.56
Common Charges -Capital Assessment 115M: 83.55
Electric, Gas, Fuel, Oil and Other Utilities: 75.71</t>
        </r>
      </text>
    </comment>
    <comment ref="K12" authorId="0" shapeId="0" xr:uid="{A2C51671-87BE-408A-BC60-8C3A5AA443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574.75
Common Charges -Capital Assessment: 176.56
Common Charges -Capital Assessment 115M: 83.55
Electric, Gas, Fuel, Oil and Other Utilities: 57.57</t>
        </r>
      </text>
    </comment>
    <comment ref="L12" authorId="0" shapeId="0" xr:uid="{535AA57B-98BB-4DD7-B90D-4E4130BFB1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Dec 2024, #T0041098: 574.75
Common Charges - Assessments - 1732, Capital Assessment Dec 2024: 176.56
Common Charges - Assessments - 1732, Capital Assessment 115M Dec 2024: 83.55
Electric, Gas, Fuel, Oil and Other Utilities - 1732, Electric Dec 2024: 52.07</t>
        </r>
      </text>
    </comment>
    <comment ref="M12" authorId="0" shapeId="0" xr:uid="{7F3EC694-98B3-41BD-A647-F9AC83C6111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- 1732, Common Charge Jan2025: 591.99
Common Charges - Assessments - 1732, Capital Assessment Jan 2025: 176.56
Common Charges - Assessments - 1732, Capital Assessment 115M Jan 2025: 83.55
Electric, Gas, Fuel, Oil and Other Utilities - 1732,Electric Jan 2025: 41.27</t>
        </r>
      </text>
    </comment>
    <comment ref="N12" authorId="0" shapeId="0" xr:uid="{8AB5AAF9-B9A8-49F4-AD45-DD0645470BB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Feb 2025: 591.99
Common Charges - Assessments - 1732, Capital Assessment Feb 2025: 176.56
Common Charges - Assessments - 1732, Capital Assessment 115M Feb 2025: 83.55
Electric, Gas, Fuel, Oil and Other Utilities - 1732,Electric Feb 2025: 37.91 
</t>
        </r>
      </text>
    </comment>
    <comment ref="O12" authorId="0" shapeId="0" xr:uid="{10E772F5-0B55-4153-890C-14CA8AEC1C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コモンチャージ特別徴収：176.56
コモンチャージ特別徴収：83.55
電気代等：29.46
move in board fee: 250.00
</t>
        </r>
      </text>
    </comment>
    <comment ref="P12" authorId="0" shapeId="0" xr:uid="{81A83FEF-D526-424F-B21A-361C79DFE30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コモンチャージ特別徴収：176.56
コモンチャージ特別徴収：83.55
電気代等：39.11
更新手数料：435.00
</t>
        </r>
      </text>
    </comment>
    <comment ref="Q12" authorId="0" shapeId="0" xr:uid="{FDF60900-B5B0-44C5-98D7-F135DB11CA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コモンチャージ特別徴収：176.56
コモンチャージ特別徴収：83.55
電気代等：35.38
</t>
        </r>
      </text>
    </comment>
    <comment ref="R12" authorId="0" shapeId="0" xr:uid="{40E01243-C633-4940-8426-79C8F08C79F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電気代6月分：39.98
保険：541.00
固定資産税1年：8,625.13
送金手数料：12.00
</t>
        </r>
      </text>
    </comment>
    <comment ref="S12" authorId="0" shapeId="0" xr:uid="{D5BC3BBB-5D9C-4A24-B2B9-D1CFC3CF080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アセスメント：176.56
アセスメント：83.55
電気代7月：79.15</t>
        </r>
      </text>
    </comment>
    <comment ref="U12" authorId="0" shapeId="0" xr:uid="{62E3A417-524F-4BE0-B7D0-03D68DD8FA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電気代：91.49
HVACメンテナンス：323.36</t>
        </r>
      </text>
    </comment>
    <comment ref="V12" authorId="0" shapeId="0" xr:uid="{40930113-027D-4A66-A0DE-156993FFC8D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電気代：96.53</t>
        </r>
      </text>
    </comment>
    <comment ref="W12" authorId="0" shapeId="0" xr:uid="{152B72D1-A1B7-4D95-900A-EC7B9897C1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電気代：86.81</t>
        </r>
      </text>
    </comment>
    <comment ref="X12" authorId="0" shapeId="0" xr:uid="{F757CF3E-E4D7-455A-893D-1F6AFEE725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電気代：91.39</t>
        </r>
      </text>
    </comment>
    <comment ref="Y12" authorId="0" shapeId="0" xr:uid="{98F7FF36-8312-446F-9397-4987C7555CD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電気代：51.99
Board Fee：257.50
エアコンメンテナンス：323.36</t>
        </r>
      </text>
    </comment>
    <comment ref="Z12" authorId="0" shapeId="0" xr:uid="{FB7989D7-EC7E-41ED-8CEC-58C623773C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コモンチャージ：645.80
コモンチャージアセスメント：176.56
コモンチャージアセスメント：83.55
電気代：51.19</t>
        </r>
      </text>
    </comment>
    <comment ref="AA12" authorId="0" shapeId="0" xr:uid="{E28BCB07-F7D3-43D9-A586-77E2A100142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コモンチャージ：645.80
コモンチャージアセスメント：176.56
コモンチャージアセスメント：83.55
電気代：43.99</t>
        </r>
      </text>
    </comment>
    <comment ref="AB12" authorId="0" shapeId="0" xr:uid="{A33A56C7-6DCD-45AA-A668-4D7B34B3F70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コモンチャージ：645.80
コモンチャージアセスメント：176.56
コモンチャージアセスメント：83.55
電気代：54.52</t>
        </r>
      </text>
    </comment>
    <comment ref="F31" authorId="0" shapeId="0" xr:uid="{D8411E44-A046-421B-8271-ED2313B4E6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: $4,200.00/month (occupied till 03/31/2025)
(Jul. 8 closing) 24 days credit to buyer (=$4,200.00 /31*24 days): $3,251.52
Electric Bill Adjustment (estimate based on latest charge)
$40.69*3 months (May-Jul. 2024)=$122.07 (estimated amount)
(Jul.8 closing) 68 days credit to buyer(=$122.07/92*68 days): $90.44
</t>
        </r>
      </text>
    </comment>
    <comment ref="H31" authorId="0" shapeId="0" xr:uid="{E0471837-599A-49B0-A794-3560077ACF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</t>
        </r>
      </text>
    </comment>
    <comment ref="J31" authorId="0" shapeId="0" xr:uid="{1813B92D-8547-4866-9263-5E0426E7FC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Tenant:4,200.00 
Refunds Electricity: 07/08/2024 -07/30/2024: 57.46</t>
        </r>
      </text>
    </comment>
    <comment ref="K31" authorId="0" shapeId="0" xr:uid="{D847B654-62D5-42A5-B3E9-525AEA07C9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Tenant:4,200.00 
Refunds Electricity: 07/30/2024 -08/28/2024:75.71</t>
        </r>
      </text>
    </comment>
    <comment ref="L31" authorId="0" shapeId="0" xr:uid="{3BBA8A07-D998-4343-8783-022B455206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4,200.00
Refunds - December 2024 - Electricity: 08/28/2024-09/27/2024 :57.57
</t>
        </r>
      </text>
    </comment>
    <comment ref="M31" authorId="0" shapeId="0" xr:uid="{21F2D971-A227-4D61-928C-EEAE86AE9A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 :4,200.00
Refunds - January 2025 - Electricity: 09/27/2024 -10/28/2024:52.07</t>
        </r>
      </text>
    </comment>
    <comment ref="N31" authorId="0" shapeId="0" xr:uid="{D4AC5C11-3E7F-4173-AC95-8D8F12FF78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February 2025 4,200.00
Refunds - February 2025 - Electricity: 10/28/2024 -11/27/2024 :41.27</t>
        </r>
      </text>
    </comment>
    <comment ref="O31" authorId="0" shapeId="0" xr:uid="{90C00397-024D-49E3-BC19-BFBF28A544B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 4,200.00
Refunds電気代 :37.91</t>
        </r>
      </text>
    </comment>
    <comment ref="P31" authorId="0" shapeId="0" xr:uid="{C269865F-A73B-4DF9-BBE8-A809269B1B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Refunds電気代：29.46</t>
        </r>
      </text>
    </comment>
    <comment ref="Q31" authorId="0" shapeId="0" xr:uid="{2436EF17-60A7-49FC-B507-F56B669FA78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Refunds：39.11</t>
        </r>
      </text>
    </comment>
    <comment ref="R31" authorId="0" shapeId="0" xr:uid="{CA845F94-E1BC-4B72-AB02-99860D914E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Refunds：35.38</t>
        </r>
      </text>
    </comment>
    <comment ref="S31" authorId="0" shapeId="0" xr:uid="{9E9A098C-DF11-44DC-BA71-35A8B59461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Refunds：39.98</t>
        </r>
      </text>
    </comment>
    <comment ref="U31" authorId="0" shapeId="0" xr:uid="{E173CBAB-4F61-4176-B419-78AB8E9FA8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電気代払戻し：79.15</t>
        </r>
      </text>
    </comment>
    <comment ref="V31" authorId="0" shapeId="0" xr:uid="{D0935C23-B350-41B4-B02C-89CEA1042D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電気代払戻し：91.49</t>
        </r>
      </text>
    </comment>
    <comment ref="W31" authorId="0" shapeId="0" xr:uid="{24ADF587-F9BB-4897-AA3D-6F82399312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払戻し：96.53</t>
        </r>
      </text>
    </comment>
    <comment ref="X31" authorId="0" shapeId="0" xr:uid="{C9BC13C9-B1D6-4AB7-B097-A4B85A254A3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払戻し：86.81</t>
        </r>
      </text>
    </comment>
    <comment ref="Y31" authorId="0" shapeId="0" xr:uid="{27C0839C-8D0D-44BF-B47D-CBEED40A53B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払戻し：91.39</t>
        </r>
      </text>
    </comment>
    <comment ref="Z31" authorId="0" shapeId="0" xr:uid="{E4CE762C-4AF9-44AE-BB6F-E771CC8F574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払戻し：51.99</t>
        </r>
      </text>
    </comment>
    <comment ref="AA31" authorId="0" shapeId="0" xr:uid="{AACD1621-65D6-45AE-8A9B-812EA97431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払戻し：51.19</t>
        </r>
      </text>
    </comment>
    <comment ref="AB31" authorId="0" shapeId="0" xr:uid="{169ACFC5-0F20-4042-B634-88601AD51A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
払戻し：43.99</t>
        </r>
      </text>
    </comment>
    <comment ref="B32" authorId="0" shapeId="0" xr:uid="{102F6F38-1B5D-4910-B4C3-AEA92F37C5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01DDADA5-784C-4193-B9E2-6D4276C24F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F36" authorId="1" shapeId="0" xr:uid="{B750FA2E-B43E-47C1-A3D5-C5413C952EFD}">
      <text>
        <r>
          <rPr>
            <sz val="9"/>
            <color indexed="81"/>
            <rFont val="MS P ゴシック"/>
            <family val="3"/>
            <charset val="128"/>
          </rPr>
          <t>Management Fees Initial Set-up Fee</t>
        </r>
      </text>
    </comment>
    <comment ref="H36" authorId="0" shapeId="0" xr:uid="{F68AB21E-5A5A-48D8-B94A-91827249C6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管理手数料8％
4200ドル×0.08</t>
        </r>
      </text>
    </comment>
    <comment ref="P36" authorId="0" shapeId="0" xr:uid="{753D0734-52FB-410F-AB26-4EFE710FAA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新管理手数料8％：348.00</t>
        </r>
      </text>
    </comment>
    <comment ref="S36" authorId="0" shapeId="0" xr:uid="{E766D15F-CC6A-4FA7-8EBC-BD4452D4A6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4,350×7％</t>
        </r>
      </text>
    </comment>
    <comment ref="B37" authorId="0" shapeId="0" xr:uid="{13B4B123-01F8-42D3-8325-74C3DA433A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$2,157.07/ Quater
(Jul.8 closing) 85 days credit to seller (=$2,157.07/92*85 days): $1,993.25
Legal Abstract, LLC 
・Policy Premium: $3,568.00
・Endorsement: $50.00
・Recording Fees: $275.00
・Other Fees: $1,275.44
Relo Redac, Inc. (Management Reserve Fee): $7,000.00
Relo Redac, Inc. (Closing Coordination Fee): $9,770.60
Relo Redac, Inc. (Reimbursements)
・Attorney Fee: $2,000.00
・FedEx Fees: $ 29.57
・Board Application Initiation Fee: $65.00
・Homeowner’s Insurance Fee: $ 523.00
・Messenger Fee:$35.76
・Board Package Fee: $1,052.50
Lisa Stabile (Title Closer Fee): $300.00
D5 Law Office PLLC (Legal fee and expenses)
・Remainder of legal fee for real estate transaction: $2,000.00
・Shipping and Administrative Fees: $75.00
・Condo Questionnaire Fee (Reimbursement): $131.25
</t>
        </r>
      </text>
    </comment>
    <comment ref="F37" authorId="1" shapeId="0" xr:uid="{44F47759-CE76-4B6E-87AC-01E0C547FB13}">
      <text>
        <r>
          <rPr>
            <sz val="9"/>
            <color indexed="81"/>
            <rFont val="MS P ゴシック"/>
            <family val="3"/>
            <charset val="128"/>
          </rPr>
          <t>Bank Charges：12
Common Charge Adjustment :$574.75/ month
(Jul. 8 closing) 24 days credit to seller(=$574.75/31* 24 days): $444.96</t>
        </r>
      </text>
    </comment>
    <comment ref="H37" authorId="0" shapeId="0" xr:uid="{460015A3-D81D-4811-8F60-9E86AB65295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Charges:574.75
Common Charges Capital Assessment:176.56
Electric, Gas, Fuel, Oil and Other Utilities:81.03</t>
        </r>
      </text>
    </comment>
    <comment ref="I37" authorId="0" shapeId="0" xr:uid="{521C34E4-4975-4129-BF86-0159202DFC0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Charges:574.75
Common Charges Capital Assessment:176.56
Common Charges Capital Assessment 115M:83.55
Electric, Gas, Fuel, Oil and Other Utilities:82.44
Real Estate Taxes：716.58
Bank Charges:12</t>
        </r>
      </text>
    </comment>
    <comment ref="J37" authorId="0" shapeId="0" xr:uid="{6762D1BA-0D7B-4D56-82F0-B1BA49771A0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574.75
Common Charges -Capital Assessment: 176.56
Common Charges -Capital Assessment 115M: 83.55
Electric, Gas, Fuel, Oil and Other Utilities: 75.71
Real Estate Taxes：716.66</t>
        </r>
      </text>
    </comment>
    <comment ref="K37" authorId="0" shapeId="0" xr:uid="{CA539F88-6A3A-477F-9A84-ED73FC8C6F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Common Charges: 574.75
Common Charges -Capital Assessment: 176.56
Common Charges -Capital Assessment 115M: 83.55
Electric, Gas, Fuel, Oil and Other Utilities: 57.57</t>
        </r>
      </text>
    </comment>
    <comment ref="L37" authorId="0" shapeId="0" xr:uid="{38EDE501-959F-47B8-BE68-238822329EE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Common Charge Dec 2024, #T0041098: 574.75
Common Charges - Assessments - 1732, Capital Assessment Dec 2024: 176.56
Common Charges - Assessments - 1732, Capital Assessment 115M Dec 2024: 83.55
Electric, Gas, Fuel, Oil and Other Utilities - 1732, Electric Dec 2024: 52.07</t>
        </r>
      </text>
    </comment>
    <comment ref="M37" authorId="0" shapeId="0" xr:uid="{083199F2-8EED-44F7-A4F6-31DB3A8919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Common Charges - 1732, Common Charge Jan2025: 591.99
Common Charges - Assessments - 1732, Capital Assessment Jan 2025: 176.56
Common Charges - Assessments - 1732, Capital Assessment 115M Jan 2025: 83.55
Electric, Gas, Fuel, Oil and Other Utilities - 1732,Electric Jan 2025: 41.27</t>
        </r>
      </text>
    </comment>
    <comment ref="N37" authorId="0" shapeId="0" xr:uid="{31D1B97C-716A-4A62-B959-7F0C96E1C5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Common Charge Feb 2025: 591.99
Common Charges - Assessments - 1732, Capital Assessment Feb 2025: 176.56
Common Charges - Assessments - 1732, Capital Assessment 115M Feb 2025: 83.55
Electric, Gas, Fuel, Oil and Other Utilities - 1732,Electric Feb 2025: 37.91 </t>
        </r>
      </text>
    </comment>
    <comment ref="O37" authorId="0" shapeId="0" xr:uid="{5464C69E-F50A-4E34-BD34-38C666CC37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コモンチャージ：591.99
コモンチャージ特別徴収：176.56
コモンチャージ特別徴収：83.55
電気代等：29.46
move in board fee: 250.00</t>
        </r>
      </text>
    </comment>
    <comment ref="P37" authorId="0" shapeId="0" xr:uid="{F07E2B77-1071-47BA-9EC9-46304CE6C6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固定資産税：716.66
コモンチャージ：591.99
コモンチャージ特別徴収：176.56
コモンチャージ特別徴収：83.55
電気代等：39.11
更新手数料：435.00</t>
        </r>
      </text>
    </comment>
    <comment ref="Q37" authorId="0" shapeId="0" xr:uid="{08D42319-D63E-4064-A82A-4C4019DB4AA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Taxes：716.66
コモンチャージ：591.99
コモンチャージ特別徴収：176.56
コモンチャージ特別徴収：83.55
電気代等：35.38</t>
        </r>
      </text>
    </comment>
    <comment ref="R37" authorId="0" shapeId="0" xr:uid="{64EA0453-7D21-440F-B21B-57F40EB5AFE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コモンチャージ：591.99
コモンチャージアセスメント：176.56
コモンチャージアセスメント：83.55
電気代6月分：39.98
保険：541.00
固定資産税1/12：718.77
送金手数料：12.00
</t>
        </r>
      </text>
    </comment>
    <comment ref="S37" authorId="0" shapeId="0" xr:uid="{F6A1A160-D9AC-4AF1-8065-3F0FC4FEE1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アセスメント：176.56
アセスメント：83.55
電気代7月：79.15</t>
        </r>
      </text>
    </comment>
    <comment ref="U37" authorId="0" shapeId="0" xr:uid="{3ACD79DD-92AF-4569-A693-0DAE8A810D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コモンチャージアセスメント：176.56
コモンチャージアセスメント：83.55
電気代：91.49
HVACメンテナンス：323.36</t>
        </r>
      </text>
    </comment>
    <comment ref="V37" authorId="0" shapeId="0" xr:uid="{AC9B61B1-930B-4D67-A9CF-2D6DCBFB23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コモンチャージアセスメント：176.56
コモンチャージアセスメント：83.55
電気代：96.53</t>
        </r>
      </text>
    </comment>
    <comment ref="W37" authorId="0" shapeId="0" xr:uid="{AF990FA2-57D5-45B8-B5D9-7EAB90041D2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コモンチャージアセスメント：176.56
コモンチャージアセスメント：83.55
電気代：86.81</t>
        </r>
      </text>
    </comment>
    <comment ref="X37" authorId="0" shapeId="0" xr:uid="{358CFFAF-3B69-410C-B536-CF466E4F93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コモンチャージアセスメント：176.56
コモンチャージアセスメント：83.55
電気代：91.39</t>
        </r>
      </text>
    </comment>
    <comment ref="Y37" authorId="0" shapeId="0" xr:uid="{7D4A4424-26C3-41BE-8E4E-E51DD762DF9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コモンチャージ：591.99
コモンチャージアセスメント：176.56
コモンチャージアセスメント：83.55
電気代：51.99
Board Fee：257.50
エアコンメンテナンス：323.36</t>
        </r>
      </text>
    </comment>
    <comment ref="Z37" authorId="0" shapeId="0" xr:uid="{69CBB6F4-8D29-4335-9623-F39A861130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コモンチャージ：645.80
コモンチャージアセスメント：176.56
コモンチャージアセスメント：83.55
電気代：51.19</t>
        </r>
      </text>
    </comment>
    <comment ref="AA37" authorId="0" shapeId="0" xr:uid="{3411005B-0A23-43B6-88D5-39768058C7D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
コモンチャージ：645.80
コモンチャージアセスメント：176.56
コモンチャージアセスメント：83.55
電気代：43.99</t>
        </r>
      </text>
    </comment>
    <comment ref="AB37" authorId="0" shapeId="0" xr:uid="{C376A779-CCA7-4E00-86A6-E5E30CD9DCD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</t>
        </r>
      </text>
    </comment>
    <comment ref="AC37" authorId="0" shapeId="0" xr:uid="{440451F9-8A08-4344-B0F5-2319DE41B70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</t>
        </r>
      </text>
    </comment>
    <comment ref="AD37" authorId="0" shapeId="0" xr:uid="{21939DAE-0875-4BED-AF5E-B8943EE00B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固定資産税1/12：718.76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J6" authorId="0" shapeId="0" xr:uid="{6ED99994-3B8C-4042-9C4D-42DB5BF4F5B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Fee: 15.00×2</t>
        </r>
      </text>
    </comment>
    <comment ref="K6" authorId="0" shapeId="0" xr:uid="{E79724FD-4F93-474F-B3C8-80320F675F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 Rent - Tenant (Prorated): 3,175.89</t>
        </r>
      </text>
    </comment>
    <comment ref="L6" authorId="0" shapeId="0" xr:uid="{84049801-74D2-4145-B1F0-0157C162FE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1,424.11
Rent - Tenant - December 2024: 3,175.89
Refunds - December 2024 - Electricity: 11/10/2024-11/30/2024: 68.30</t>
        </r>
      </text>
    </comment>
    <comment ref="M6" authorId="0" shapeId="0" xr:uid="{30516AB0-2E5C-49B4-8404-0E69EE9453E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2025: 4,600.00
Refunds - January 2025 - Electricity: 12/01/2024 - 12/31/2024: 97.57</t>
        </r>
      </text>
    </comment>
    <comment ref="N6" authorId="0" shapeId="0" xr:uid="{DE4DFF4F-93C7-4588-BE4E-BF5DC9013A8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February 2025: 4,600.00
Refunds - February 2025 - Electricity: 01/01/2025 - 01/31/2025: 97.57
</t>
        </r>
      </text>
    </comment>
    <comment ref="O6" authorId="0" shapeId="0" xr:uid="{81B510D9-4D5C-43CA-9186-1E586F4CDA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P6" authorId="0" shapeId="0" xr:uid="{0A1E995B-BC54-4AAA-A494-E7B02DFB4B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Q6" authorId="0" shapeId="0" xr:uid="{BF9A8BAC-C216-4C3E-87BC-23BDD38784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R6" authorId="0" shapeId="0" xr:uid="{7BEB9F34-36B8-439D-AD25-20C6414FF6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S6" authorId="0" shapeId="0" xr:uid="{B77505C9-CB12-4DCF-832D-359DF9FC95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U6" authorId="0" shapeId="0" xr:uid="{FB63A43A-531B-492E-9C8F-2B1DEE5CA67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V6" authorId="0" shapeId="0" xr:uid="{DA2E5708-82C1-4842-8EF6-96A047F4E12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W6" authorId="0" shapeId="0" xr:uid="{64B34491-3B60-4A54-AB92-87A1F80BD8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X6" authorId="0" shapeId="0" xr:uid="{2500494C-50A7-4755-8763-A978CA85E0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</t>
        </r>
      </text>
    </comment>
    <comment ref="Y6" authorId="0" shapeId="0" xr:uid="{D1BB2D61-5FD9-42F2-B033-5B88E452AB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Z6" authorId="0" shapeId="0" xr:uid="{CF2464E5-D6E7-420F-BB25-E7092828100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AA6" authorId="0" shapeId="0" xr:uid="{2AA6E403-CC9A-4A3E-BCF2-C51EB348432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AB6" authorId="0" shapeId="0" xr:uid="{D92C899F-6D33-42B9-BCB9-800EDC39748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B7" authorId="0" shapeId="0" xr:uid="{D9C2206B-4028-41C1-B9BD-E683BBF6A6C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046CFF5A-CAD6-495A-BBD3-F148FF1841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J11" authorId="0" shapeId="0" xr:uid="{9EA02CFF-184C-440D-A655-F3F3E2281A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Fees: 100.00
Management Fees Initial Set-up Fee: 500.00</t>
        </r>
      </text>
    </comment>
    <comment ref="K11" authorId="0" shapeId="0" xr:uid="{E65407CD-B250-42AA-931B-BF036290179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Other Coordination: 667.72
Management Fees - New Leases: 4,600
Management Fees: 368</t>
        </r>
      </text>
    </comment>
    <comment ref="L11" authorId="0" shapeId="0" xr:uid="{CDCECBAE-8AE3-411E-8275-59DA3157C10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- 1790 Management Fee Dec 2024: 368.00
4,600.00×0.08＝368.00
</t>
        </r>
      </text>
    </comment>
    <comment ref="S11" authorId="0" shapeId="0" xr:uid="{0649BCEC-1AF2-4F28-B51B-4B3485DF1B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4,600×7％</t>
        </r>
      </text>
    </comment>
    <comment ref="X11" authorId="0" shapeId="0" xr:uid="{B0012D46-278C-47E6-9DCB-0FFD780A32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4,650×0.07</t>
        </r>
      </text>
    </comment>
    <comment ref="B12" authorId="0" shapeId="0" xr:uid="{7A0227A3-60C8-47B6-9C77-BF212FF8DC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$2,789.85/quarter
(Sep. 26 closing) - 5 days credit to seller (=$2,789.85/92*5 days): $151.62
The Reserve Fund Assesment Adjustment （アセスメント調整): $153.05/ month
(Sep. 26 closing) - 5 days credit to seller (=$153.05/30*5 days): $25.51
Legal Abstract LLC 
・Policy Premium: $3,317.00
・Recording Fees: $275.00
・Other Fees: $1,125.44
The Tower 53 Condominium (Refundable Move-in Deposit): $500.00
M&amp;M Environmental (Non-Refundable Bedbug Inspection Fee): $350.00
Relo Redac, Inc. (Reimbursements)
・Attorney Fee (Retainer) for real estate purchase transaction (D5 Law Office): $2,000.00
・Messenger Fee (to D5 Law office): $35.92
・BoardPackager Initiation Fee: $75.00
・Homeowner's Insurance Fee: $726.00
・Messenger Fee: $32.94
・FedEx Fee (JP to NY): $87.82
・Inspection: $1,028.97
・BoardPackager Fee: $800.00
Relo Redac, Inc. (Management Reserve Fee): $14,000.00
Relo Redac, Inc. (Closing Coordination Fee): $9,000.00
Lisa Stabile (Title Closer Fee): $300.00
D5 Law Office PLLC
・Remainder of Legal Fee: $2,000.00
・FedEx Shipping Fee: $75.00
・Reimbursement of Condo Questionnaire Fee: $275.00
</t>
        </r>
      </text>
    </comment>
    <comment ref="I12" authorId="0" shapeId="0" xr:uid="{14946FBD-4A96-455E-9C63-C445DA102BC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&amp; Fuel Assesment Adjustment （共益費調整):$1,009.97/ month
(Sep. 26 closing) - 5 days credit to seller (=$1,009.97/30*5 days): $168.33</t>
        </r>
      </text>
    </comment>
    <comment ref="J12" authorId="0" shapeId="0" xr:uid="{3879E45B-DA82-47A3-8FDB-98753EF945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Taxes: 2,789.85
Move-in and Board Fees SD for prep work refundable: 1,000.00
Move-in and Board Fees Alteration processing fee: 150.00
Miscellaneous and Other Expense :30.00
Move-in and Board Fees Board package access fee  75.00
Bank Charges: 12.00
The Tower 53 Condominium (First Month’s Common Charge, Fuel Assesment, and Reserve Fund Assesment): $1,163.02</t>
        </r>
      </text>
    </comment>
    <comment ref="K12" authorId="0" shapeId="0" xr:uid="{24599CCC-A9B4-43A5-B8C7-86EE3513625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912.40
Electric, Gas, Fuel, Oil and Other Utilities: 97.57
Common Charges - Assessments: 153.05
Maintenance and Others - 1790 Replace microwave fan filters 11/8/24 : 13.05
Maintenance and Others - 1790 Deep cleaning 11/7/24: 571.59
Repair and Others - 1790 Tenant turnover repair 10/15/24: 2,937.99
Repair and Others - 1790 Tenant turnover painting 10/15/24: 3,739.34
</t>
        </r>
        <r>
          <rPr>
            <b/>
            <sz val="9"/>
            <color indexed="81"/>
            <rFont val="MS P ゴシック"/>
            <family val="3"/>
            <charset val="128"/>
          </rPr>
          <t>【返金】Move-in and Board Fees - 1790 SD for prep work refund Nov 2024: -1,000</t>
        </r>
      </text>
    </comment>
    <comment ref="L12" authorId="0" shapeId="0" xr:uid="{69279D5F-B32F-4130-BD0B-9A5FD3C9937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- 1790, Common Charge Dec 2024, #102-306: 912.40
Electric, Gas, Fuel, Oil and Other Utilities - 1790, Fuel Assessment Dec 2024: 97.57
Common Charges - Assessments - 1790, Reserve Fund Assessment Dec 2024: 153.05
Maintenance and Others - 1790 Remove disposal floor boxes 12/24/24: 419.17
Real Estate Taxes - 1790 NYC property tax Dec 2024: 2,778.57</t>
        </r>
      </text>
    </comment>
    <comment ref="M12" authorId="0" shapeId="0" xr:uid="{2337AD2A-4461-49F3-AE74-5677F9D179E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- 1790, Common Charge Jan 2025: 912.40
Electric, Gas, Fuel, Oil and Other Utilities - 1790, Fuel Assessment Jan 2025: 97.57
Common Charges - Assessments - 1790, Reserve Fund Assessment Jan 2025: 153.05</t>
        </r>
      </text>
    </comment>
    <comment ref="N12" authorId="0" shapeId="0" xr:uid="{30246349-7AA8-4820-B45F-112927B25E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- 1790, Common Charge Feb 2025,#102-306: 912.40 
Electric, Gas, Fuel, Oil and Other Utilities - 1790, Fuel Assessment Feb 2025: 97.57
Common Charges - Assessments - 1790, Reserve Fund Assessment Feb 2025: 153.05</t>
        </r>
      </text>
    </comment>
    <comment ref="O12" authorId="0" shapeId="0" xr:uid="{78A9ED75-11B1-4C24-BC41-65B8E49B6E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</t>
        </r>
      </text>
    </comment>
    <comment ref="P12" authorId="0" shapeId="0" xr:uid="{D423749E-A71A-4D2F-9134-4771A0293D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</t>
        </r>
      </text>
    </comment>
    <comment ref="Q12" authorId="0" shapeId="0" xr:uid="{F92D348C-BDC4-47C9-969A-18018B513DC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</t>
        </r>
      </text>
    </comment>
    <comment ref="R12" authorId="0" shapeId="0" xr:uid="{EB8BFE07-EBA0-4130-B18E-1E5303EBDDB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
固定資産税1年：13,553.29</t>
        </r>
      </text>
    </comment>
    <comment ref="S12" authorId="0" shapeId="0" xr:uid="{DA460656-AA65-4F97-8CD5-8B882D1AF0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光熱費7月：97.57
メンテナンス：100.00</t>
        </r>
      </text>
    </comment>
    <comment ref="U12" authorId="0" shapeId="0" xr:uid="{37E8E685-AD51-4081-8C3C-2C06E5297B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
保険料：744.00
郵送料：6.33</t>
        </r>
      </text>
    </comment>
    <comment ref="V12" authorId="0" shapeId="0" xr:uid="{A5176FC4-3D30-495C-B64C-928A6DBF75D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</t>
        </r>
      </text>
    </comment>
    <comment ref="W12" authorId="0" shapeId="0" xr:uid="{B72ADA68-0EE5-4431-A87A-8DAE0B473B5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</t>
        </r>
      </text>
    </comment>
    <comment ref="X12" authorId="0" shapeId="0" xr:uid="{A5C27A21-FF28-4839-9B29-06C815C347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
更新料：465.00</t>
        </r>
      </text>
    </comment>
    <comment ref="Y12" authorId="0" shapeId="0" xr:uid="{552556C0-A9AA-46DD-B546-30AA6A54DA6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</t>
        </r>
      </text>
    </comment>
    <comment ref="Z12" authorId="0" shapeId="0" xr:uid="{8822E7D5-658D-4051-8A19-393806B58B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</t>
        </r>
      </text>
    </comment>
    <comment ref="AA12" authorId="0" shapeId="0" xr:uid="{86DBCFA8-8603-49D0-BEBC-C9D267122B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電気代：97.57</t>
        </r>
      </text>
    </comment>
    <comment ref="J31" authorId="0" shapeId="0" xr:uid="{C9FC624E-84EB-4F1D-9705-4DACE7A377D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Fee: 15.00×2</t>
        </r>
      </text>
    </comment>
    <comment ref="K31" authorId="0" shapeId="0" xr:uid="{5F8F586D-B5CC-446E-9021-BC17E138A10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 Rent - Tenant (Prorated): 3,175.89</t>
        </r>
      </text>
    </comment>
    <comment ref="L31" authorId="0" shapeId="0" xr:uid="{18E77793-1B47-4560-9F76-709AF33CF1E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1,424.11
Rent - Tenant - December 2024: 3,175.89
Refunds - December 2024 - Electricity: 11/10/2024-11/30/2024: 68.30</t>
        </r>
      </text>
    </comment>
    <comment ref="M31" authorId="0" shapeId="0" xr:uid="{29E607E5-3B23-4199-AA24-56835B328D9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January 2025: 4,600.00
Refunds - January 2025 - Electricity: 12/01/2024 - 12/31/2024: 97.57</t>
        </r>
      </text>
    </comment>
    <comment ref="N31" authorId="0" shapeId="0" xr:uid="{E090B6D3-66AA-4191-A365-D4472AD39C6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February 2025: 4,600.00
Refunds - February 2025 - Electricity: 01/01/2025 - 01/31/2025: 97.57
</t>
        </r>
      </text>
    </comment>
    <comment ref="O31" authorId="0" shapeId="0" xr:uid="{6DC917D0-A0AB-4203-AC02-4E662E0002A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P31" authorId="0" shapeId="0" xr:uid="{7705C248-9268-4414-8F66-05CEB056FD6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Q31" authorId="0" shapeId="0" xr:uid="{4A0C6482-AFCE-4BFB-AF4F-70CF8E1B839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R31" authorId="0" shapeId="0" xr:uid="{97A263F9-3E85-4A76-A677-87CF5FE701C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S31" authorId="0" shapeId="0" xr:uid="{993330B7-965E-4230-A444-0DADF44FE6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U31" authorId="0" shapeId="0" xr:uid="{43637022-A6D4-46AD-8E3D-8CA9284F525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V31" authorId="0" shapeId="0" xr:uid="{4F5B4F23-516A-4570-BEE2-C168AE397B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W31" authorId="0" shapeId="0" xr:uid="{A37443CB-CEEB-4E4E-AD3E-B1E91A564C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
電気代戻り：97.57</t>
        </r>
      </text>
    </comment>
    <comment ref="X31" authorId="0" shapeId="0" xr:uid="{607C57FE-32F3-4F91-9477-1B02B6C4BB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</t>
        </r>
      </text>
    </comment>
    <comment ref="Y31" authorId="0" shapeId="0" xr:uid="{C26922A8-AC94-40D9-8059-774D309880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Z31" authorId="0" shapeId="0" xr:uid="{43690575-6DBF-400D-BA3D-B1BD2353D1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AA31" authorId="0" shapeId="0" xr:uid="{BE2A6433-C70A-4F99-82BE-E7ACC5CE5A4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賃料：4,650.00
電気代戻し：97.57</t>
        </r>
      </text>
    </comment>
    <comment ref="B32" authorId="0" shapeId="0" xr:uid="{25503341-DFFA-4BB7-AA41-35871118BED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BF413B7E-43DA-45C1-A3A9-BF37691D939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J36" authorId="0" shapeId="0" xr:uid="{81359454-8409-4956-A15B-D8F6DA89D4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Fees: 100.00
Management Fees Initial Set-up Fee: 500.00</t>
        </r>
      </text>
    </comment>
    <comment ref="K36" authorId="0" shapeId="0" xr:uid="{B880169A-5832-4219-9A99-835E4A06FA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Other Coordination: 667.72
Management Fees - New Leases: 4,600
Management Fees: 368</t>
        </r>
      </text>
    </comment>
    <comment ref="L36" authorId="0" shapeId="0" xr:uid="{25C61CD4-F145-433F-B55A-D3D3ACEF35E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- 1790 Management Fee Dec 2024: 368.00
4,600.00×0.08＝368.00
</t>
        </r>
      </text>
    </comment>
    <comment ref="S36" authorId="0" shapeId="0" xr:uid="{709B83F1-2564-4F81-AE80-CAB750A849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管理手数料変更
4,600×7％</t>
        </r>
      </text>
    </comment>
    <comment ref="X36" authorId="0" shapeId="0" xr:uid="{83CD7898-35AB-421E-B562-20677D13549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4,650×0.07</t>
        </r>
      </text>
    </comment>
    <comment ref="B37" authorId="0" shapeId="0" xr:uid="{980ABA81-77A6-4714-97B3-E3AA163994D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$2,789.85/quarter
(Sep. 26 closing) - 5 days credit to seller (=$2,789.85/92*5 days): $151.62
The Reserve Fund Assesment Adjustment （アセスメント調整): $153.05/ month
(Sep. 26 closing) - 5 days credit to seller (=$153.05/30*5 days): $25.51
Legal Abstract LLC 
・Policy Premium: $3,317.00
・Recording Fees: $275.00
・Other Fees: $1,125.44
The Tower 53 Condominium (Refundable Move-in Deposit): $500.00
M&amp;M Environmental (Non-Refundable Bedbug Inspection Fee): $350.00
Relo Redac, Inc. (Reimbursements)
・Attorney Fee (Retainer) for real estate purchase transaction (D5 Law Office): $2,000.00
・Messenger Fee (to D5 Law office): $35.92
・BoardPackager Initiation Fee: $75.00
・Homeowner's Insurance Fee: $726.00
・Messenger Fee: $32.94
・FedEx Fee (JP to NY): $87.82
・Inspection: $1,028.97
・BoardPackager Fee: $800.00
Relo Redac, Inc. (Management Reserve Fee): $14,000.00
Relo Redac, Inc. (Closing Coordination Fee): $9,000.00
Lisa Stabile (Title Closer Fee): $300.00
D5 Law Office PLLC
・Remainder of Legal Fee: $2,000.00
・FedEx Shipping Fee: $75.00
・Reimbursement of Condo Questionnaire Fee: $275.00
</t>
        </r>
      </text>
    </comment>
    <comment ref="I37" authorId="0" shapeId="0" xr:uid="{9B60316A-DDE2-4A76-A02E-A16F8DF30C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&amp; Fuel Assesment Adjustment （共益費調整):$1,009.97/ month
(Sep. 26 closing) - 5 days credit to seller (=$1,009.97/30*5 days): $168.33</t>
        </r>
      </text>
    </comment>
    <comment ref="J37" authorId="0" shapeId="0" xr:uid="{884D4508-A0EA-4C49-B659-EE4CC18030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Taxes: 929.95
Move-in and Board Fees SD for prep work refundable: 1,000.00
Move-in and Board Fees Alteration processing fee: 150.00
Miscellaneous and Other Expense :30.00
Move-in and Board Fees Board package access fee  75.00
Bank Charges: 12.00
The Tower 53 Condominium (First Month’s Common Charge, Fuel Assesment, and Reserve Fund Assesment): $1,163.02</t>
        </r>
      </text>
    </comment>
    <comment ref="K37" authorId="0" shapeId="0" xr:uid="{2D4C6E0C-F853-4505-BF62-FAA9A8D902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Taxes：929.95
Common Charges: 912.40
Electric, Gas, Fuel, Oil and Other Utilities: 97.57
Common Charges - Assessments: 153.05
Maintenance and Others - 1790 Replace microwave fan filters 11/8/24 : 13.05
Maintenance and Others - 1790 Deep cleaning 11/7/24: 571.59
Repair and Others - 1790 Tenant turnover repair 10/15/24: 2,937.99
Repair and Others - 1790 Tenant turnover painting 10/15/24: 3,739.34
【返金】Move-in and Board Fees - 1790 SD for prep work refund Nov 2024: -1,000</t>
        </r>
      </text>
    </comment>
    <comment ref="L37" authorId="0" shapeId="0" xr:uid="{25316EF6-D927-49EA-97B9-D72CBFEBF9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Taxes：929.95
Common Charges - 1790, Common Charge Dec 2024, #102-306: 912.40
Electric, Gas, Fuel, Oil and Other Utilities - 1790, Fuel Assessment Dec 2024: 97.57
Common Charges - Assessments - 1790, Reserve Fund Assessment Dec 2024: 153.05
Maintenance and Others - 1790 Remove disposal floor boxes 12/24/24: 419.17
</t>
        </r>
      </text>
    </comment>
    <comment ref="M37" authorId="0" shapeId="0" xr:uid="{07F79C16-6D07-4D8C-BC21-2CC8C75645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- 1790 NYC property tax Dec 2024: 926.19
Common Charges - 1790, Common Charge Jan 2025: 912.40
Electric, Gas, Fuel, Oil and Other Utilities - 1790, Fuel Assessment Jan 2025: 97.57
Common Charges - Assessments - 1790, Reserve Fund Assessment Jan 2025: 153.05</t>
        </r>
      </text>
    </comment>
    <comment ref="N37" authorId="0" shapeId="0" xr:uid="{08064775-1B0A-4FAC-95CF-4A0A87DF9A9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- 1790 NYC property tax Dec 2024: 926.19
Common Charges - 1790, Common Charge Feb 2025,#102-306: 912.40 
Electric, Gas, Fuel, Oil and Other Utilities - 1790, Fuel Assessment Feb 2025: 97.57
Common Charges - Assessments - 1790, Reserve Fund Assessment Feb 2025: 153.05</t>
        </r>
      </text>
    </comment>
    <comment ref="O37" authorId="0" shapeId="0" xr:uid="{4E2C240C-81ED-4A1B-9AC8-94D1088A3DB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
固定資産税: 926.19</t>
        </r>
      </text>
    </comment>
    <comment ref="P37" authorId="0" shapeId="0" xr:uid="{78CBCAC2-9D18-470E-AB7E-8479248FE0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</t>
        </r>
      </text>
    </comment>
    <comment ref="Q37" authorId="0" shapeId="0" xr:uid="{06E9945D-7980-42AF-851A-6662E0D5A00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</t>
        </r>
      </text>
    </comment>
    <comment ref="R37" authorId="0" shapeId="0" xr:uid="{05ECDDCC-D89C-482E-8BBA-C08A5DEE77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コモンチャージ：912.40
電気代等：97.57
固定資産税1/12：1,129.45</t>
        </r>
      </text>
    </comment>
    <comment ref="S37" authorId="0" shapeId="0" xr:uid="{A91D9C0D-2721-4C6A-8BF2-10C1281FF05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光熱費7月：97.57
メンテナンス：100.00</t>
        </r>
      </text>
    </comment>
    <comment ref="U37" authorId="0" shapeId="0" xr:uid="{C594E01A-A43C-4599-9F31-27621A1E560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
保険料：744.00
郵送料：6.33</t>
        </r>
      </text>
    </comment>
    <comment ref="V37" authorId="0" shapeId="0" xr:uid="{A449F1F4-CA60-4A52-A5F0-062C3AE7EB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</t>
        </r>
      </text>
    </comment>
    <comment ref="W37" authorId="0" shapeId="0" xr:uid="{D9582306-008F-4EE9-9106-3D6E2F952B4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</t>
        </r>
      </text>
    </comment>
    <comment ref="X37" authorId="0" shapeId="0" xr:uid="{F9E26D42-90E3-48D9-82DB-28DCD82A9F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
更新料：465.00</t>
        </r>
      </text>
    </comment>
    <comment ref="Y37" authorId="0" shapeId="0" xr:uid="{6AC7B143-2E53-41B9-9B3E-19C99C936F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</t>
        </r>
      </text>
    </comment>
    <comment ref="Z37" authorId="0" shapeId="0" xr:uid="{E0D6B8BA-83CE-4280-A829-CCB339DED6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</t>
        </r>
      </text>
    </comment>
    <comment ref="AA37" authorId="0" shapeId="0" xr:uid="{1557ADE4-07EB-4BE2-A92F-67068CF4E9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コモンチャージ：912.40
電気代：97.57</t>
        </r>
      </text>
    </comment>
    <comment ref="AB37" authorId="0" shapeId="0" xr:uid="{ED508871-3CBA-4730-840F-306A935ED8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</t>
        </r>
      </text>
    </comment>
    <comment ref="AC37" authorId="0" shapeId="0" xr:uid="{13C7065B-6EA7-4693-8891-7B79E4F6BE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</t>
        </r>
      </text>
    </comment>
    <comment ref="AD37" authorId="0" shapeId="0" xr:uid="{DCF47557-AE48-410D-BAE5-537FACABA9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固定資産税1/12：1,129.44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  <author>前田 弥雪紀</author>
  </authors>
  <commentList>
    <comment ref="K6" authorId="0" shapeId="0" xr:uid="{6904945E-A083-41F3-90A9-B70900950D3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Adjustments (家賃 調整): $3,400.00/month
(Nov. 20 closing) - 11 days credit to purchaser (=$3,400.00/30* 11 days)：$1,246.63
</t>
        </r>
      </text>
    </comment>
    <comment ref="L6" authorId="0" shapeId="0" xr:uid="{3ED135C6-ADA1-4ED2-A14E-4789083C813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3,400.00 </t>
        </r>
      </text>
    </comment>
    <comment ref="R6" authorId="0" shapeId="0" xr:uid="{35D9E7FA-FB17-4201-84D1-F24AE19A4A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賃料：3,018.08
6/27/2025
 ($3,400 x 12/365 x 27days)</t>
        </r>
      </text>
    </comment>
    <comment ref="S6" authorId="0" shapeId="0" xr:uid="{D49A6E5F-F6BB-46D2-84E9-1A8E5DBE10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デポジットから鍵紛失代を引いた金額
3,400.00-3,383.67＝16.33</t>
        </r>
      </text>
    </comment>
    <comment ref="U6" authorId="0" shapeId="0" xr:uid="{ED988E9D-9493-4264-8726-D38D2C438C3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Income×3：45.00</t>
        </r>
      </text>
    </comment>
    <comment ref="V6" authorId="0" shapeId="0" xr:uid="{76BF1C38-BAAB-463D-8D6B-6DB90BB4412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日割り賃料29日分</t>
        </r>
      </text>
    </comment>
    <comment ref="W6" authorId="0" shapeId="0" xr:uid="{1FDCD075-960F-4B88-AA20-650D44F8971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賃料：3,600.00</t>
        </r>
      </text>
    </comment>
    <comment ref="AA6" authorId="1" shapeId="0" xr:uid="{34FE6992-7E62-47C1-8131-F265C2B110FC}">
      <text>
        <r>
          <rPr>
            <b/>
            <sz val="9"/>
            <color indexed="81"/>
            <rFont val="MS P ゴシック"/>
            <family val="3"/>
            <charset val="128"/>
          </rPr>
          <t>前田 弥雪紀:</t>
        </r>
        <r>
          <rPr>
            <sz val="9"/>
            <color indexed="81"/>
            <rFont val="MS P ゴシック"/>
            <family val="3"/>
            <charset val="128"/>
          </rPr>
          <t xml:space="preserve">
賃料：3,600.00
返金：94.97
返金：98.24 
返金：98.24
返金：98.24
返金：98.24</t>
        </r>
      </text>
    </comment>
    <comment ref="B7" authorId="0" shapeId="0" xr:uid="{494D85EC-A3A9-456E-A202-A2614AEF7E4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10F04B40-783C-4AD2-A279-F17233E839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K11" authorId="0" shapeId="0" xr:uid="{8C661F38-A2AA-478B-AB0F-386FF1C3C9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Initial Set-ups: 500</t>
        </r>
      </text>
    </comment>
    <comment ref="L11" authorId="0" shapeId="0" xr:uid="{5F347B2F-238C-40DE-A857-F072889F20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- 1793 Management Fee Dec 2024: 238.00
3,400×0.07＝238
</t>
        </r>
      </text>
    </comment>
    <comment ref="S11" authorId="0" shapeId="0" xr:uid="{F4A0F154-CCB4-48B4-BFF4-831C3996339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管理費3.5％
テナント退去のため</t>
        </r>
      </text>
    </comment>
    <comment ref="V11" authorId="0" shapeId="0" xr:uid="{9C8BC543-AA55-4B7B-AFD6-009E01C8D8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3,600×7％</t>
        </r>
      </text>
    </comment>
    <comment ref="B12" authorId="0" shapeId="0" xr:uid="{5E94151F-393E-4F01-9E00-BB803F7FEF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Adjustments (固定資産税調整): $2,740.05/quarter
(Nov. 20 closing) - 42 days credit to seller (=$2,740.05/92* 42 days) $1,250.89
Legal Abstract LLC （タイトルカンパニーへの支払い。以下内訳。）
・Policy Premium: $2,306.00
・Recording Fees: $275.00
・Other Fees: $1,082.69
The Tower 53 Condominium (Refundable Move-in Deposit) $500.00
M &amp; M Environmetal (Non-Reundable Bed Bug Inspection Fee) $350.00
Relo Redac, Inc. (Lease Security Deposit) $3,400.00
Relo Redac, Inc. (Reimbursements)
・Attorney Fee (Retainer) for real estate purchase transaction (D5 Law Office): $2,000.00
・FedEx Fee: $86.24
・Board Packager Initiation Fee: $875.00
・Homeowner's Insurance: $523.00
・Inspection Fee: $1,028.97
Relo Redac, Inc. (Management Reserve Fee) $9,000.00
Relo Redac, Inc. (Closing Coordination Fee) $5,850.00
Metro Closers LLC (Title Closer Fee) $300.00
D5 Law Office PLLC 
・Remainder of Legal Fee: $2,000.00
・Shipping and Administrative Fees: $100.00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下記2項目は契約時に買主に支払われており取得価格で相殺済み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u/>
            <sz val="9"/>
            <color indexed="81"/>
            <rFont val="MS P ゴシック"/>
            <family val="3"/>
            <charset val="128"/>
          </rPr>
          <t>2 GFCI Replacement Credit to purchaser -$400.00
Lease Security Deposit - credit to purchaser -$3,400.00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12" authorId="0" shapeId="0" xr:uid="{9D761063-4564-41F0-A01A-62D77520FB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Bank Charges: 12
Common Charge Adjustments（共益費調整): $918.65/ month
(Nov. 20 closing) - 11 days credit to seller (=$918.65/30*11 days): 336.82
</t>
        </r>
      </text>
    </comment>
    <comment ref="L12" authorId="0" shapeId="0" xr:uid="{0784FBAF-7826-46BB-954F-99A9D47032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The Tower 53 Condominium
(First Month’s Common Charge, Fuel Assesment, and Reserve Fund Assesment): $1,170.99
Real Estate Taxes - 1793 NYC property tax Dec 2024: 5,469.03</t>
        </r>
      </text>
    </comment>
    <comment ref="M12" authorId="0" shapeId="0" xr:uid="{FFA80300-CB96-4F76-ADCD-C8A8180C135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- 1793, Common Charge Jan 2025: 918.65
Electric, Gas, Fuel, Oil and Other Utilities - 1793, Fuel Assessment Jan 2025: 98.24
Common Charges - Assessments - 1793, Reserve Fund Assessment Jan 2025: 154.10</t>
        </r>
      </text>
    </comment>
    <comment ref="N12" authorId="0" shapeId="0" xr:uid="{C5B8388C-837C-40C0-9218-C931180DFCF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- 1793, Common Charge Feb 2025, #102-309: 918.65
Electric, Gas, Fuel, Oil and Other Utilities - 1793, Fuel Assessment Feb 2025: 98.24
Common Charges - Assessments - 1793, Reserve Fund Assessment Feb 2025: 154.10</t>
        </r>
      </text>
    </comment>
    <comment ref="O12" authorId="0" shapeId="0" xr:uid="{3365C203-8EA0-4BCC-BBA3-32405411C2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電気代等：98.24</t>
        </r>
      </text>
    </comment>
    <comment ref="P12" authorId="0" shapeId="0" xr:uid="{C41D6198-A045-464F-8F1F-18A26702185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電気代等：98.24</t>
        </r>
      </text>
    </comment>
    <comment ref="Q12" authorId="0" shapeId="0" xr:uid="{401C5400-0892-46B2-9C56-339E49F5A16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電気代等：98.24</t>
        </r>
      </text>
    </comment>
    <comment ref="R12" authorId="0" shapeId="0" xr:uid="{6172764D-5DAE-49DC-9BA5-C965B35ADBB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電気代等：98.24
固定資産税1年：13,580.75</t>
        </r>
      </text>
    </comment>
    <comment ref="S12" authorId="0" shapeId="0" xr:uid="{B26BB092-C6F1-42E4-9337-287290871CD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光熱費：98.24
ガス警報器：100.00
ACリペア：244.97
申込フィー：250.00</t>
        </r>
      </text>
    </comment>
    <comment ref="U12" authorId="0" shapeId="0" xr:uid="{CBFB7C2E-CF33-482D-B6A1-A6D6CADCED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電気代：98.24
修繕費：6,886.34
広告費：350.00
コーディネーション費：688.63
Application Fee：45.00</t>
        </r>
      </text>
    </comment>
    <comment ref="V12" authorId="0" shapeId="0" xr:uid="{9805EC2C-82F0-4E39-96D2-38B955FA22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メンテナンス：571.59
電気代：98.24
荷物アクセスフィー：75.00
仲介手数料：3,600.00</t>
        </r>
      </text>
    </comment>
    <comment ref="W12" authorId="0" shapeId="0" xr:uid="{73C35C9F-629E-40B6-ACC6-5CCEB704DDE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保険代：537.00
電気代：98.24</t>
        </r>
      </text>
    </comment>
    <comment ref="X12" authorId="0" shapeId="0" xr:uid="{10E84434-9E69-461B-A910-F5B8E463B44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電気代：98.24</t>
        </r>
      </text>
    </comment>
    <comment ref="Y12" authorId="0" shapeId="0" xr:uid="{20E917BA-93DB-4EE2-A939-3D943A2F53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電気代：98.24</t>
        </r>
      </text>
    </comment>
    <comment ref="Z12" authorId="0" shapeId="0" xr:uid="{8B4F07A2-8303-4DC5-872D-98A21A71D4D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電気代：98.24</t>
        </r>
      </text>
    </comment>
    <comment ref="AA12" authorId="0" shapeId="0" xr:uid="{A40DE87C-59E3-450F-8390-6F4BF61B1B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電気代：98.24</t>
        </r>
      </text>
    </comment>
    <comment ref="AB12" authorId="0" shapeId="0" xr:uid="{FA3BD03C-7365-4A2B-9C76-5F616FFC63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コモンチャージ：1006.33
電気代：98.24</t>
        </r>
      </text>
    </comment>
    <comment ref="K31" authorId="0" shapeId="0" xr:uid="{31A8D89A-B764-4B3C-B7FD-4A1FFCD8E6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Adjustments (家賃 調整): $3,400.00/month
(Nov. 20 closing) - 11 days credit to purchaser (=$3,400.00/30* 11 days)：$1,246.63
</t>
        </r>
      </text>
    </comment>
    <comment ref="L31" authorId="0" shapeId="0" xr:uid="{34FF4532-C10D-42BB-A7A4-6910A56D7B9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December 2024: 3,400.00 </t>
        </r>
      </text>
    </comment>
    <comment ref="R31" authorId="0" shapeId="0" xr:uid="{24680AA9-6038-4268-BDA8-DC1D7871D87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賃料：3,018.08
6/27/2025
 ($3,400 x 12/365 x 27days)</t>
        </r>
      </text>
    </comment>
    <comment ref="S31" authorId="0" shapeId="0" xr:uid="{FDD5089D-197D-4BB6-8E40-F656D4BCF9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デポジットから鍵紛失代を引いた金額
3,400.00-3,383.67＝16.33</t>
        </r>
      </text>
    </comment>
    <comment ref="U31" authorId="0" shapeId="0" xr:uid="{5FBDBA3F-3DB0-4AF4-9E3B-B20CC387A4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Income×3：45.00</t>
        </r>
      </text>
    </comment>
    <comment ref="V31" authorId="0" shapeId="0" xr:uid="{35C1EC36-4D4B-4E57-AD4D-34C653AF98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日割り賃料29日分</t>
        </r>
      </text>
    </comment>
    <comment ref="W31" authorId="0" shapeId="0" xr:uid="{53E201F0-2E05-49E8-873C-38D5DCECB56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賃料：3,600.00</t>
        </r>
      </text>
    </comment>
    <comment ref="AA31" authorId="1" shapeId="0" xr:uid="{F13BD638-1D84-4EA4-9753-EA5D945B9399}">
      <text>
        <r>
          <rPr>
            <b/>
            <sz val="9"/>
            <color indexed="81"/>
            <rFont val="MS P ゴシック"/>
            <family val="3"/>
            <charset val="128"/>
          </rPr>
          <t>前田 弥雪紀:</t>
        </r>
        <r>
          <rPr>
            <sz val="9"/>
            <color indexed="81"/>
            <rFont val="MS P ゴシック"/>
            <family val="3"/>
            <charset val="128"/>
          </rPr>
          <t xml:space="preserve">
賃料：3,600.00
返金：94.97
返金：98.24 
返金：98.24
返金：98.24
返金：98.24</t>
        </r>
      </text>
    </comment>
    <comment ref="B32" authorId="0" shapeId="0" xr:uid="{6FC913AE-893D-491F-A84E-1E4799F299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233CB986-E387-455B-AEC6-03A587470C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K36" authorId="0" shapeId="0" xr:uid="{2D415EA1-0B4E-4ADD-BCAB-94D69CDBD0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Initial Set-ups: 500</t>
        </r>
      </text>
    </comment>
    <comment ref="L36" authorId="0" shapeId="0" xr:uid="{DA1FE970-38FB-401A-985E-C3C95512C3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- 1793 Management Fee Dec 2024: 238.00
3,400×0.07＝238
</t>
        </r>
      </text>
    </comment>
    <comment ref="S36" authorId="0" shapeId="0" xr:uid="{FF8BB878-BCBB-4DBD-83C1-7ACAC5DE8BD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管理費3.5％
テナント退去のため</t>
        </r>
      </text>
    </comment>
    <comment ref="V36" authorId="0" shapeId="0" xr:uid="{0016803D-4EE9-4E82-8C4E-2296DEBBAC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3,600×7％</t>
        </r>
      </text>
    </comment>
    <comment ref="B37" authorId="0" shapeId="0" xr:uid="{32D82888-C8F4-49EC-967D-30637094D13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Adjustments (固定資産税調整): $2,740.05/quarter
(Nov. 20 closing) - 42 days credit to seller (=$2,740.05/92* 42 days) $1,250.89
Legal Abstract LLC （タイトルカンパニーへの支払い。以下内訳。）
・Policy Premium: $2,306.00
・Recording Fees: $275.00
・Other Fees: $1,082.69
The Tower 53 Condominium (Refundable Move-in Deposit) $500.00
M &amp; M Environmetal (Non-Reundable Bed Bug Inspection Fee) $350.00
Relo Redac, Inc. (Lease Security Deposit) $3,400.00
Relo Redac, Inc. (Reimbursements)
・Attorney Fee (Retainer) for real estate purchase transaction (D5 Law Office): $2,000.00
・FedEx Fee: $86.24
・Board Packager Initiation Fee: $875.00
・Homeowner's Insurance: $523.00
・Inspection Fee: $1,028.97
Relo Redac, Inc. (Management Reserve Fee) $9,000.00
Relo Redac, Inc. (Closing Coordination Fee) $5,850.00
Metro Closers LLC (Title Closer Fee) $300.00
D5 Law Office PLLC 
・Remainder of Legal Fee: $2,000.00
・Shipping and Administrative Fees: $100.00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下記2項目は契約時に買主に支払われており取得価格で相殺済み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u/>
            <sz val="9"/>
            <color indexed="81"/>
            <rFont val="MS P ゴシック"/>
            <family val="3"/>
            <charset val="128"/>
          </rPr>
          <t>2 GFCI Replacement Credit to purchaser -$400.00
Lease Security Deposit - credit to purchaser -$3,400.00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37" authorId="0" shapeId="0" xr:uid="{263FD49A-8E34-43CC-9E9B-04B2F8DDEA7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Bank Charges: 12
Common Charge Adjustments（共益費調整): $918.65/ month
(Nov. 20 closing) - 11 days credit to seller (=$918.65/30*11 days): 336.82
</t>
        </r>
      </text>
    </comment>
    <comment ref="L37" authorId="0" shapeId="0" xr:uid="{73BB8F7E-1927-49AE-A431-D9BACAAC933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The Tower 53 Condominium
(First Month’s Common Charge, Fuel Assesment, and Reserve Fund Assesment): $1,170.99
Real Estate Taxes - 1793 NYC property tax Dec 2024: 911.53</t>
        </r>
      </text>
    </comment>
    <comment ref="M37" authorId="0" shapeId="0" xr:uid="{06BE069B-2D53-4A69-BBC1-892C4BD21A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- 1793 NYC property tax Dec 2024: 911.50
Common Charges - 1793, Common Charge Jan 2025: 918.65
Electric, Gas, Fuel, Oil and Other Utilities - 1793, Fuel Assessment Jan 2025: 98.24
Common Charges - Assessments - 1793, Reserve Fund Assessment Jan 2025: 154.10</t>
        </r>
      </text>
    </comment>
    <comment ref="N37" authorId="0" shapeId="0" xr:uid="{B9FF338F-67E4-4FC8-B5CE-ABF29CED4DA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- 1793 NYC property tax Dec 2024: 911.50
Common Charges - 1793, Common Charge Feb 2025, #102-309: 918.65
Electric, Gas, Fuel, Oil and Other Utilities - 1793, Fuel Assessment Feb 2025: 98.24
Common Charges - Assessments - 1793, Reserve Fund Assessment Feb 2025: 154.10</t>
        </r>
      </text>
    </comment>
    <comment ref="O37" authorId="0" shapeId="0" xr:uid="{F21B95E9-E7E3-4996-86FD-91CCD9C59F0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固定資産税：911.50
コモンチャージ：918.65
電気代等：98.24</t>
        </r>
      </text>
    </comment>
    <comment ref="P37" authorId="0" shapeId="0" xr:uid="{7C3F93CC-2A3F-49F5-B737-9DA633B693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固定資産税：911.50
コモンチャージ：918.65
電気代等：98.24</t>
        </r>
      </text>
    </comment>
    <comment ref="Q37" authorId="0" shapeId="0" xr:uid="{794941B5-0F66-4D57-A037-F0D5EA28F47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- 1793 NYC property tax Dec 2024: 911.50
コモンチャージ：918.65
電気代等：98.24</t>
        </r>
      </text>
    </comment>
    <comment ref="R37" authorId="0" shapeId="0" xr:uid="{6605C9FC-5186-4AB1-8F28-339C60D50AE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コモンチャージ：918.65
電気代等：98.24
固定資産税1/12：1,131.72</t>
        </r>
      </text>
    </comment>
    <comment ref="S37" authorId="0" shapeId="0" xr:uid="{41229B56-76F9-490D-BB9F-475EC7331C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光熱費：98.24
ガス警報器：100.00
ACリペア：244.97
申込フィー：250.00</t>
        </r>
      </text>
    </comment>
    <comment ref="U37" authorId="0" shapeId="0" xr:uid="{44BD7B46-67A6-42DA-9E48-BCA49F7C76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電気代：98.24
修繕費：6,886.34
広告費：350.00
コーディネーション費：688.63
Application Fee：45.00</t>
        </r>
      </text>
    </comment>
    <comment ref="V37" authorId="0" shapeId="0" xr:uid="{68F2E33B-EF90-49CF-9FC4-4967E1880E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メンテナンス：571.59
電気代：98.24
荷物アクセスフィー：75.00
仲介手数料：3,600.00</t>
        </r>
      </text>
    </comment>
    <comment ref="W37" authorId="0" shapeId="0" xr:uid="{DA0AB159-1494-4D8F-947B-D7EF1DF8CDC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保険代：537.00
電気代：98.24</t>
        </r>
      </text>
    </comment>
    <comment ref="X37" authorId="0" shapeId="0" xr:uid="{9F2F1DF3-83B6-41C4-8EF0-6B177239AE9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電気代：98.24</t>
        </r>
      </text>
    </comment>
    <comment ref="Y37" authorId="0" shapeId="0" xr:uid="{9DDFFA37-87B7-4C1E-93CA-F55DC69185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電気代：98.24</t>
        </r>
      </text>
    </comment>
    <comment ref="Z37" authorId="0" shapeId="0" xr:uid="{285DD496-60C3-4657-834F-74165ECEE2B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電気代：98.24</t>
        </r>
      </text>
    </comment>
    <comment ref="AA37" authorId="0" shapeId="0" xr:uid="{99BF4700-8CC1-450A-B666-338FA6886E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コモンチャージ：918.65
電気代：98.24</t>
        </r>
      </text>
    </comment>
    <comment ref="AB37" authorId="0" shapeId="0" xr:uid="{FAAAF6D6-BB45-4113-A4B9-17F95F874B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</t>
        </r>
      </text>
    </comment>
    <comment ref="AC37" authorId="0" shapeId="0" xr:uid="{A199E342-E896-42CE-B359-F697FF7AA10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</t>
        </r>
      </text>
    </comment>
    <comment ref="AD37" authorId="0" shapeId="0" xr:uid="{CA78BEC7-CFDC-4D59-8ABF-772EC3B23FF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固定資産税1/12：1,131.73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夏目 卓司</author>
    <author>倉又 淳一郎</author>
  </authors>
  <commentList>
    <comment ref="F6" authorId="0" shapeId="0" xr:uid="{1997B69E-FFAA-4436-8C2B-D05940C23625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I6" authorId="1" shapeId="0" xr:uid="{542205B0-41CE-4264-A04D-CD86B13481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Fee15×3：45</t>
        </r>
      </text>
    </comment>
    <comment ref="K6" authorId="1" shapeId="0" xr:uid="{1AB074C1-2709-44E0-9DE6-0485E032999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 Rent - Tenant (Prorated): 1,282.19</t>
        </r>
      </text>
    </comment>
    <comment ref="L6" authorId="1" shapeId="0" xr:uid="{2D537778-D7C7-4441-A38A-03D853E888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5,217.81
Rent - Tenant - December 2024 1,282.19</t>
        </r>
      </text>
    </comment>
    <comment ref="O6" authorId="1" shapeId="0" xr:uid="{C7994AEE-9429-4987-9D3A-31C7EFA6C1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払戻し：2.05
払戻し：84.25
延滞料：150.00</t>
        </r>
      </text>
    </comment>
    <comment ref="P6" authorId="1" shapeId="0" xr:uid="{85E4D47F-5B0B-458B-AA72-73C13B2C0F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払戻し：93.11
保証金払戻し：1,373.16</t>
        </r>
      </text>
    </comment>
    <comment ref="Q6" authorId="1" shapeId="0" xr:uid="{A0495721-C10D-4197-B736-8CB4C4EA72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払戻し：68.23
保証金払戻し：126.84</t>
        </r>
      </text>
    </comment>
    <comment ref="R6" authorId="1" shapeId="0" xr:uid="{AF968F93-5872-4E6D-BD5D-A0F1BFF236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払戻し：39.15</t>
        </r>
      </text>
    </comment>
    <comment ref="S6" authorId="1" shapeId="0" xr:uid="{704CA67B-47DE-450C-827B-4F14B115FD2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払戻し：58.07</t>
        </r>
      </text>
    </comment>
    <comment ref="U6" authorId="1" shapeId="0" xr:uid="{692E6153-06F7-4AA2-9D0E-9B9A8B3DEB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払戻し：68.81</t>
        </r>
      </text>
    </comment>
    <comment ref="V6" authorId="1" shapeId="0" xr:uid="{DC5A8290-9510-40AA-BE09-A4878B9CEF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電気代払戻し：159.59</t>
        </r>
      </text>
    </comment>
    <comment ref="W6" authorId="1" shapeId="0" xr:uid="{8833F80E-F99F-407D-8C2B-C114BDC7720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電気代払戻し：171.69</t>
        </r>
      </text>
    </comment>
    <comment ref="X6" authorId="1" shapeId="0" xr:uid="{9054BB24-2BD9-42E7-90C8-DFCA841E63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電気代払戻し：66.83</t>
        </r>
      </text>
    </comment>
    <comment ref="Y6" authorId="1" shapeId="0" xr:uid="{97CD67D8-FE33-4350-8339-AD5E43C6DA5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電気代払戻し：88.98</t>
        </r>
      </text>
    </comment>
    <comment ref="Z6" authorId="1" shapeId="0" xr:uid="{CB89EEF5-AEAA-496F-8643-7BDDAF39A33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電気代払戻し：49.24</t>
        </r>
      </text>
    </comment>
    <comment ref="AA6" authorId="1" shapeId="0" xr:uid="{8D407181-CA4C-487F-BC3D-026A893627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電気代払戻し：64.47</t>
        </r>
      </text>
    </comment>
    <comment ref="AB6" authorId="1" shapeId="0" xr:uid="{3F7998C8-2533-4FCC-B308-40A2C05ADE2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払戻し：81.44</t>
        </r>
      </text>
    </comment>
    <comment ref="B7" authorId="1" shapeId="0" xr:uid="{89854477-2558-4FD1-98A8-84695A7D2F4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1" shapeId="0" xr:uid="{6AC87447-8ECD-47B2-BAC9-A0EA73B3B8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J11" authorId="1" shapeId="0" xr:uid="{EF03AC2A-0A1C-44C0-8CFA-8DE8C410B3D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Fees: 100.00
Management Fees Initial Set-ups: 500.00
Management Fees - Other Coordination: 115.95</t>
        </r>
      </text>
    </comment>
    <comment ref="K11" authorId="1" shapeId="0" xr:uid="{9B14D8A9-3398-4CDE-BB36-88EE797525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New Leases: 6,500
Management Fees: 100</t>
        </r>
      </text>
    </comment>
    <comment ref="L11" authorId="1" shapeId="0" xr:uid="{5D256CF6-B5BA-432A-8CC3-C3560CD4EF0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- 1794 Management Fee Dec 2024: 455.00
6,500×0.07＝455</t>
        </r>
      </text>
    </comment>
    <comment ref="X11" authorId="1" shapeId="0" xr:uid="{11C1BDC3-8CB9-496E-91DE-73DDDC98EE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6,600×7％</t>
        </r>
      </text>
    </comment>
    <comment ref="B12" authorId="1" shapeId="0" xr:uid="{DB54B83C-309A-4964-A4EE-43724DE346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
$4,803.99/quarter + $161.53 prepaid by seller
(Sep. 16 closing) - 15 days credit to seller (=$4,965.52/92*15 days): $827.55
Legal Abstract LLC (Title Comapny) 
・Policy Premium: $5,673.00
・Recording Fees: $275.00
・Other Fees: $1,112.13
One Wall Street Condominium (Refundable Move-in Deposit): $1,500.00
One Wall Street Condominium (Non-Refundable Move-in Fee): $500.00
Relo Redac, Inc. (Reimbursements)
・Attorney Fee (Retainer) for real estate purchase transaction (D5 Law Office): $2000.00
・FedEx Fee: $25.85
・Homeowner Insurance: $694.00
・Home Inspection Fee: $1,028.97
・Messenger Fee: $35.76
Relo Redac, Inc. (Management Reserve Fee) $18,000.00
Relo Redac, Inc. (Closing Coordination Fee) $14,000.00
Lisa Stabile (Title Closer Fee) $300.00
D5 Law Office PLLC 
・Remainder of Legal Fee:$2,000.00
・Shipping and Administration Fees: $75.00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Common Charge 3-Year Credit: -$46,192.43
契約時の条項で3年分のコモンチャージを売主が負担のため諸経費からマイナス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I12" authorId="1" shapeId="0" xr:uid="{98525A23-B700-4103-842C-897E5E5F0F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Bank Charges：12
Common Charge Adjustments （共益費調整):$1,283.12/ month
(Sep. 16 closing) - 15 days credit to seller (=$1,283.12/30*15 days): $641.55</t>
        </r>
      </text>
    </comment>
    <comment ref="J12" authorId="1" shapeId="0" xr:uid="{CED00787-55B9-4420-AA96-DD1EA1AB27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Taxes: 4,642.46
Advertising and Marketing: 350.00
Move-in and Board Fees - 1794 Application processing fee:750.00
Move-in and Board Fees - 1794 Digital retention fee: 112.50
Move-in and Board Fees - 1794 Consumer report fee: 80.00
Move-in and Board Fees - 1794 Additional consumer report fee: 80.00
Maintenance and Others: 1,159.52
Miscellaneous and Other Expenses: 45.00
One Wall Street Condominium (First Month’s Common Charge): $1,283.12</t>
        </r>
      </text>
    </comment>
    <comment ref="K12" authorId="1" shapeId="0" xr:uid="{47873DA9-55CC-4C20-82F0-F8D3F905D8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Charges: 1,283.12
Miscellaneous and Other Expenses: 0.50
Maintenance and Others: 272.19</t>
        </r>
      </text>
    </comment>
    <comment ref="L12" authorId="1" shapeId="0" xr:uid="{80FBA63A-A2F7-4D18-A2B3-39EA1F4270A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- 1794, Common Charge Dec 2024, #760701-1810: 1,283.12
Legal and Accounting - 1794, Tax Credit Fee Dec 2024: 323.06
Miscellaneous and Other Expenses - 1794, ACH Processing Fee Dec 2024: 0.50
Real Estate Taxes - 1794 NYC property tax Dec 2024: 9,588.57</t>
        </r>
      </text>
    </comment>
    <comment ref="M12" authorId="1" shapeId="0" xr:uid="{64895801-5782-4769-89E9-3F3BB2A3BC4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- 1794, Common Charge Jan 2025: 1,283.12
Electric, Gas, Fuel, Oil and Other Utilities - 1794,Electric Jan 2025: 117.24
Miscellaneous and Other Expenses - 1794, ACH Processing Fee Jan 2025: 0.50
</t>
        </r>
      </text>
    </comment>
    <comment ref="N12" authorId="1" shapeId="0" xr:uid="{A2841FCE-C38B-4292-92BD-0062B0AF63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Charges - 1794, Common Charge Feb 2025, #760701-1810: 1,304.93
Common Charges - 1794, Retro Common Charge Feb 2025: 21.81
Electric, Gas, Fuel, Oil and Other Utilities - 1794, Electric Feb 2025: 105.39
Miscellaneous and Other Expenses - 1794, ACH Processing Fee Feb 2025: 0.50 </t>
        </r>
      </text>
    </comment>
    <comment ref="O12" authorId="1" shapeId="0" xr:uid="{F4050092-E376-4E85-BDD3-9A949A60EC7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電気代等：93.11
送金手数料：0.50</t>
        </r>
      </text>
    </comment>
    <comment ref="P12" authorId="1" shapeId="0" xr:uid="{26507E0C-22E8-4B13-B03A-70FBA7C7A4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電気代等：68.23</t>
        </r>
      </text>
    </comment>
    <comment ref="Q12" authorId="1" shapeId="0" xr:uid="{6DE6AA12-4779-40D6-B466-4E3F708245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電気代：39.15
手数料：0.43
</t>
        </r>
      </text>
    </comment>
    <comment ref="R12" authorId="1" shapeId="0" xr:uid="{DAAEDE2A-5195-4F11-AEAD-BE90DD6FE3B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電気代：58.07
送金手数料：0.43
固定資産税1年：20,198.14</t>
        </r>
      </text>
    </comment>
    <comment ref="S12" authorId="1" shapeId="0" xr:uid="{4B9FD504-6714-4215-A16C-48FB2E59AE4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光熱費：68.81
送金手数料：0.43
HVACメンテナンス：413.73</t>
        </r>
      </text>
    </comment>
    <comment ref="U12" authorId="1" shapeId="0" xr:uid="{E25CA62C-04C2-4873-82FF-FA71BA234AB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電気代：159.59
送金手数料：0.38
保険料：713.00</t>
        </r>
      </text>
    </comment>
    <comment ref="V12" authorId="1" shapeId="0" xr:uid="{86BDD0C9-AC36-4312-82C6-11A9681024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電気代：171.69
送金手数料：0.38</t>
        </r>
      </text>
    </comment>
    <comment ref="W12" authorId="1" shapeId="0" xr:uid="{B472E327-DCB4-43C1-9DA3-39463DE2DD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電気代：66.83
送金手数料：0.33
雑費：16.98</t>
        </r>
      </text>
    </comment>
    <comment ref="X12" authorId="1" shapeId="0" xr:uid="{F3A310C0-0A0C-4330-82E1-788B987C8C4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電気代：88.98
送金手数料：0.33
更新手数料：660.00</t>
        </r>
      </text>
    </comment>
    <comment ref="Y12" authorId="1" shapeId="0" xr:uid="{1FF80693-53AB-4A56-B563-432D9D5578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電気代：49.24
送金手数料：0.33</t>
        </r>
      </text>
    </comment>
    <comment ref="Z12" authorId="1" shapeId="0" xr:uid="{922FA630-6B8D-47C9-9C48-59276E767E7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コモンチャージ：1,317.98
電気代：64.47
送金手数料：0.38</t>
        </r>
      </text>
    </comment>
    <comment ref="AA12" authorId="1" shapeId="0" xr:uid="{3863FD3A-088D-4058-9488-E7A7B9F926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コモンチャージ：1,317.98
電気代：81.44
送金手数料：0.38</t>
        </r>
      </text>
    </comment>
    <comment ref="AB12" authorId="1" shapeId="0" xr:uid="{E93B831D-B0E3-48A5-87D6-3D7C1072432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コモンチャージ：1,317.98
電気代：122.33
送金手数料：0.33</t>
        </r>
      </text>
    </comment>
    <comment ref="F31" authorId="0" shapeId="0" xr:uid="{5F54AB08-FF97-470A-91EA-1939874AD681}">
      <text>
        <r>
          <rPr>
            <sz val="9"/>
            <color indexed="81"/>
            <rFont val="MS P ゴシック"/>
            <family val="3"/>
            <charset val="128"/>
          </rPr>
          <t>Application Fee：15×2</t>
        </r>
      </text>
    </comment>
    <comment ref="I31" authorId="1" shapeId="0" xr:uid="{6B686B38-08EE-4947-A5E1-8D60338A44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Application Fee15×3：45</t>
        </r>
      </text>
    </comment>
    <comment ref="K31" authorId="1" shapeId="0" xr:uid="{AED5938C-35AF-4329-B990-C604B99903A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 - Move In Charge: Rent - Tenant (Prorated): 1,282.19</t>
        </r>
      </text>
    </comment>
    <comment ref="L31" authorId="1" shapeId="0" xr:uid="{C14A1652-E53D-42EF-BB51-9B32D854B20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- Tenant: 5,217.81
Rent - Tenant - December 2024 1,282.19</t>
        </r>
      </text>
    </comment>
    <comment ref="O31" authorId="1" shapeId="0" xr:uid="{0291B6D4-C7DB-4F18-9962-B26B52F23D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払戻し：2.05
払戻し：84.25
延滞料：150.00</t>
        </r>
      </text>
    </comment>
    <comment ref="P31" authorId="1" shapeId="0" xr:uid="{F4C8F5B1-3FA6-4612-8828-5C792B9DCD1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払戻し：93.11
保証金払戻し：1,373.16</t>
        </r>
      </text>
    </comment>
    <comment ref="Q31" authorId="1" shapeId="0" xr:uid="{EF356AB1-68DF-460D-86B6-D41F5E78634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払戻し：68.23
保証金払戻し：126.84</t>
        </r>
      </text>
    </comment>
    <comment ref="R31" authorId="1" shapeId="0" xr:uid="{EEE34764-2E21-4518-BBD4-0D2F3A092B6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払戻し：39.15</t>
        </r>
      </text>
    </comment>
    <comment ref="S31" authorId="1" shapeId="0" xr:uid="{372C9260-3771-44A4-9B97-A89D9022AC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払戻し：58.07</t>
        </r>
      </text>
    </comment>
    <comment ref="U31" authorId="1" shapeId="0" xr:uid="{0841F6C9-26D3-4554-A3FA-E7AE74C19B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払戻し：68.81</t>
        </r>
      </text>
    </comment>
    <comment ref="V31" authorId="1" shapeId="0" xr:uid="{F2E046EF-171A-425E-B830-6A8CF723784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電気代払戻し：159.59</t>
        </r>
      </text>
    </comment>
    <comment ref="W31" authorId="1" shapeId="0" xr:uid="{F5A49463-BF02-486E-AA05-AABA3248F2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電気代払戻し：171.69</t>
        </r>
      </text>
    </comment>
    <comment ref="X31" authorId="1" shapeId="0" xr:uid="{44082E52-47F1-42DE-B850-C177E02324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電気代払戻し：66.83</t>
        </r>
      </text>
    </comment>
    <comment ref="Y31" authorId="1" shapeId="0" xr:uid="{30D327FD-9956-4EE7-AD03-B2127C90A0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電気代払戻し：88.98</t>
        </r>
      </text>
    </comment>
    <comment ref="Z31" authorId="1" shapeId="0" xr:uid="{0DF17E81-023C-46CD-A71B-0656517DCE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電気代払戻し：49.24</t>
        </r>
      </text>
    </comment>
    <comment ref="AA31" authorId="1" shapeId="0" xr:uid="{832E028F-05B8-4E15-941C-B5A0CFFABB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賃料：6,600.00
電気代払戻し：64.47</t>
        </r>
      </text>
    </comment>
    <comment ref="AB31" authorId="1" shapeId="0" xr:uid="{2879B870-AAD7-443E-AE69-7CCB8F9509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払戻し：81.44</t>
        </r>
      </text>
    </comment>
    <comment ref="B32" authorId="1" shapeId="0" xr:uid="{C194F4BD-9F35-4018-B832-66646257D1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1" shapeId="0" xr:uid="{7074A1D9-0AED-4716-AACA-67907741910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J36" authorId="1" shapeId="0" xr:uid="{C11CB200-39A2-4E9B-990F-FBF06A4AB4A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Fees: 100.00
Management Fees Initial Set-ups: 500.00
Management Fees - Other Coordination: 115.95</t>
        </r>
      </text>
    </comment>
    <comment ref="K36" authorId="1" shapeId="0" xr:uid="{83B1B3C1-7F22-4798-A9DE-C6A9E743C37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New Leases: 6,500
Management Fees: 100</t>
        </r>
      </text>
    </comment>
    <comment ref="L36" authorId="1" shapeId="0" xr:uid="{EE37D1FC-6AAF-4694-8F1B-15733B602FF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Management Fees - 1794 Management Fee Dec 2024: 455.00
6,500×0.07＝455</t>
        </r>
      </text>
    </comment>
    <comment ref="X36" authorId="1" shapeId="0" xr:uid="{E9CD4E76-15CA-4D61-86E7-A0B3B5B3C7A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6,600×7％</t>
        </r>
      </text>
    </comment>
    <comment ref="B37" authorId="1" shapeId="0" xr:uid="{A6CC36BF-35F1-4D7D-BBC2-44895708F0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
$4,803.99/quarter + $161.53 prepaid by seller
(Sep. 16 closing) - 15 days credit to seller (=$4,965.52/92*15 days): $827.55
Legal Abstract LLC (Title Comapny) 
・Policy Premium: $5,673.00
・Recording Fees: $275.00
・Other Fees: $1,112.13
One Wall Street Condominium (Refundable Move-in Deposit): $1,500.00
One Wall Street Condominium (Non-Refundable Move-in Fee): $500.00
Relo Redac, Inc. (Reimbursements)
・Attorney Fee (Retainer) for real estate purchase transaction (D5 Law Office): $2000.00
・FedEx Fee: $25.85
・Homeowner Insurance: $694.00
・Home Inspection Fee: $1,028.97
・Messenger Fee: $35.76
Relo Redac, Inc. (Management Reserve Fee) $18,000.00
Relo Redac, Inc. (Closing Coordination Fee) $14,000.00
Lisa Stabile (Title Closer Fee) $300.00
D5 Law Office PLLC 
・Remainder of Legal Fee:$2,000.00
・Shipping and Administration Fees: $75.00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Common Charge 3-Year Credit: -$46,192.43
契約時の条項で3年分のコモンチャージを売主が負担のため諸経費からマイナス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I37" authorId="1" shapeId="0" xr:uid="{B68AC6D0-FF1B-4C8E-88D8-2BF15C5EF4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Bank Charges：12
Common Charge Adjustments （共益費調整):$1,283.12/ month
(Sep. 16 closing) - 15 days credit to seller (=$1,283.12/30*15 days): $641.55</t>
        </r>
      </text>
    </comment>
    <comment ref="J37" authorId="1" shapeId="0" xr:uid="{ECA8A175-925F-4B3E-9BAD-C4C9FE8EEE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Taxes: 1,547.48
Advertising and Marketing: 350.00
Move-in and Board Fees - 1794 Application processing fee:750.00
Move-in and Board Fees - 1794 Digital retention fee: 112.50
Move-in and Board Fees - 1794 Consumer report fee: 80.00
Move-in and Board Fees - 1794 Additional consumer report fee: 80.00
Maintenance and Others: 1,159.52
Miscellaneous and Other Expenses: 45.00
One Wall Street Condominium (First Month’s Common Charge): $1,283.12</t>
        </r>
      </text>
    </comment>
    <comment ref="K37" authorId="1" shapeId="0" xr:uid="{4AF90087-0F49-4817-9007-FBBB1E657A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Taxes：1,547.49
Common Charges: 1,283.12
Miscellaneous and Other Expenses: 0.50
Maintenance and Others: 272.19</t>
        </r>
      </text>
    </comment>
    <comment ref="L37" authorId="1" shapeId="0" xr:uid="{CDDAC790-B0CC-4B91-B4B7-7B9C7F98CD1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Taxes：1,547.49
Common Charges - 1794, Common Charge Dec 2024, #760701-1810: 1,283.12
Legal and Accounting - 1794, Tax Credit Fee Dec 2024: 323.06
Miscellaneous and Other Expenses - 1794, ACH Processing Fee Dec 2024: 0.50
Real Estate Taxes - 1794 NYC property tax Dec 2024: 1,598.12</t>
        </r>
      </text>
    </comment>
    <comment ref="M37" authorId="1" shapeId="0" xr:uid="{214C54E0-2F02-4F27-9ECC-DA72FE15EC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- 1794 NYC property tax Dec 2024: 1,598.09
Common Charges - 1794, Common Charge Jan 2025: 1,283.12
Electric, Gas, Fuel, Oil and Other Utilities - 1794,Electric Jan 2025: 117.24
Miscellaneous and Other Expenses - 1794, ACH Processing Fee Jan 2025: 0.50</t>
        </r>
      </text>
    </comment>
    <comment ref="N37" authorId="1" shapeId="0" xr:uid="{88842417-7F1F-44FC-A053-4C0FC1AADD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- 1794 NYC property tax Dec 2024: 1,598.09
Common Charges - 1794, Common Charge Feb 2025, #760701-1810: 1,304.93
Common Charges - 1794, Retro Common Charge Feb 2025: 21.81
Electric, Gas, Fuel, Oil and Other Utilities - 1794, Electric Feb 2025: 105.39
Miscellaneous and Other Expenses - 1794, ACH Processing Fee Feb 2025: 0.50 </t>
        </r>
      </text>
    </comment>
    <comment ref="O37" authorId="1" shapeId="0" xr:uid="{D11D41E9-251A-4812-8E13-C0BAA18BB3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固定資産税：1,598.09
コモンチャージ：1,304.93
電気代等：93.11
送金手数料：0.50</t>
        </r>
      </text>
    </comment>
    <comment ref="P37" authorId="1" shapeId="0" xr:uid="{D7D19448-B2C7-4E35-9FA4-76A35042861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固定資産税：1,598.09
コモンチャージ：1,304.93
電気代等：68.23</t>
        </r>
      </text>
    </comment>
    <comment ref="Q37" authorId="1" shapeId="0" xr:uid="{72B07904-5BE4-4A3C-BD81-497109B787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Taxes - 1794 NYC property tax Dec 2024: 1,598.09
コモンチャージ：1,304.93
電気代：39.15
手数料：0.43</t>
        </r>
      </text>
    </comment>
    <comment ref="R37" authorId="1" shapeId="0" xr:uid="{3621487D-D56A-4C3A-9E30-6F29B1D87DA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コモンチャージ：1,304.93
電気代：58.07
送金手数料：0.43
固定資産税1/12：1,683.16</t>
        </r>
      </text>
    </comment>
    <comment ref="S37" authorId="1" shapeId="0" xr:uid="{069A908B-35D9-4593-A05E-1DB60B0BD6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光熱費：68.81
送金手数料：0.43
HVACメンテナンス：413.73</t>
        </r>
      </text>
    </comment>
    <comment ref="U37" authorId="1" shapeId="0" xr:uid="{CE81F0CE-BE8B-4B58-B4A3-FF6E1AB13C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電気代：159.59
送金手数料：0.38
保険料：713.00</t>
        </r>
      </text>
    </comment>
    <comment ref="V37" authorId="1" shapeId="0" xr:uid="{43A90C45-07B6-4077-8EDC-5D24CCA3AA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電気代：171.69
送金手数料：0.38</t>
        </r>
      </text>
    </comment>
    <comment ref="W37" authorId="1" shapeId="0" xr:uid="{88EC6F2C-EFA2-4CC4-A3A3-A992CFEDE65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電気代：66.83
送金手数料：0.33
雑費：16.98</t>
        </r>
      </text>
    </comment>
    <comment ref="X37" authorId="1" shapeId="0" xr:uid="{69C9EBEF-86C8-424E-ACDC-C36A155E71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電気代：88.98
送金手数料：0.33
更新手数料：660.00</t>
        </r>
      </text>
    </comment>
    <comment ref="Y37" authorId="1" shapeId="0" xr:uid="{35B36F0F-DA8F-4FCB-813E-BBA50F10678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コモンチャージ：1,304.93
電気代：49.24
送金手数料：0.33</t>
        </r>
      </text>
    </comment>
    <comment ref="Z37" authorId="1" shapeId="0" xr:uid="{2DA6F023-55DC-4D34-B0FF-116AB03DCD0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コモンチャージ：1,317.98
電気代：64.47
送金手数料：0.38</t>
        </r>
      </text>
    </comment>
    <comment ref="AA37" authorId="1" shapeId="0" xr:uid="{2C74A724-7A43-4553-B1F8-3287BFF4622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
コモンチャージ：1,317.98
電気代：81.44
送金手数料：0.38</t>
        </r>
      </text>
    </comment>
    <comment ref="AB37" authorId="1" shapeId="0" xr:uid="{7B62E11B-EC01-499F-BC3F-9464866AD02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</t>
        </r>
      </text>
    </comment>
    <comment ref="AC37" authorId="1" shapeId="0" xr:uid="{0899596B-DED7-4054-8DC2-DE244B1793C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</t>
        </r>
      </text>
    </comment>
    <comment ref="AD37" authorId="1" shapeId="0" xr:uid="{6AA85A52-2D51-4C8D-A736-72AB072CD60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固定資産税1/12：1,683.18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Q6" authorId="0" shapeId="0" xr:uid="{52988FE5-FDC8-4142-A9CD-B3D9555956B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</t>
        </r>
      </text>
    </comment>
    <comment ref="B7" authorId="0" shapeId="0" xr:uid="{46E5CA75-E804-479B-8964-3EC66CF3511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5E23A27E-38C2-45C8-9A74-61347ECA04B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L11" authorId="0" shapeId="0" xr:uid="{FDF309FF-0B85-4D78-9237-2C458B2BB2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Dec. 物件管理費・12月分 $150.00</t>
        </r>
      </text>
    </comment>
    <comment ref="M11" authorId="0" shapeId="0" xr:uid="{2BC29C09-CB2F-40DB-B71F-B7C5A803FA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Jan.：150</t>
        </r>
      </text>
    </comment>
    <comment ref="N11" authorId="0" shapeId="0" xr:uid="{85CD5031-EA3F-4832-9620-CEA234FD10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Feb.：150</t>
        </r>
      </text>
    </comment>
    <comment ref="O11" authorId="0" shapeId="0" xr:uid="{9DB23918-39FE-4B8A-99B3-4F720F02B3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Mar.：150</t>
        </r>
      </text>
    </comment>
    <comment ref="P11" authorId="0" shapeId="0" xr:uid="{74BCADBD-9B2F-44E2-89F3-3838932D623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管理費：150.00</t>
        </r>
      </text>
    </comment>
    <comment ref="Q11" authorId="0" shapeId="0" xr:uid="{6186D42D-EB44-4354-957B-548FF6DCDB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管理費：150.00</t>
        </r>
      </text>
    </comment>
    <comment ref="R11" authorId="0" shapeId="0" xr:uid="{36053174-B064-4885-A757-55A9E104492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管理費：4,350×6％</t>
        </r>
      </text>
    </comment>
    <comment ref="B12" authorId="0" shapeId="0" xr:uid="{D0E4AD06-E64C-4F86-B6BD-5CBA4EE150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$2,738.92/ Quater
(Nov. 26 closing) 36 days credit to seller (=$2,738.92/92*36 days): $1,071.75
Legal Abstract LLC 
・Policy Premium: $2,996.00
・Recording Fees: $275.00
・Other Fees: $1,468.11
Downtown Athletic Club Condominium (Move In Deposit): $1,000.00
Downtown Athletic Club Condominium (Working Capital Contribution): $1,974.16
Nami New York Property, LLC (Reimbursements): $1,337.50
Lisa Stabile (Title Closer Fee): $300.00
D5 Law Office PLLC (Legal Fees and Expenses)
・Remainder of Legal Fee for Real Estate Transaction: $2,000.00
・Shipping and Administration Fees: $100.00
・Reimbursement of Condo Questionnaire Fee: $450.00
・Condo Closing Negotiation Fee (Removal of Personal Guaranty): $400.00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下記、契約時に相殺した項目
Missing Key Credit to Buyer -$200.00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12" authorId="0" shapeId="0" xr:uid="{86523412-E691-4DF8-BBAF-79FC6EA5AB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:$987.08/ month
(Nov. 26 closing) 5 days credit to seller(=$987.08/30*5 days): $164.51
</t>
        </r>
      </text>
    </comment>
    <comment ref="L12" authorId="0" shapeId="0" xr:uid="{F186A5AC-CB8D-4080-9ED9-543651B67EC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Downtown Athletic Club Condominium (Common Charge for Dec. 2024): $987.08
Paint, Repair &amp; Toilet Holder Installation ペンキ・修理・トイレットホルダー設置代 $3,030.00
Shades Installation シェード取替 $1,731.11
Owner's Insurance 所有者保険料 $611.00
Cleaning Fee 掃除代 $180.00
Copy of Keys 合い鍵代 $34.98
</t>
        </r>
      </text>
    </comment>
    <comment ref="M12" authorId="0" shapeId="0" xr:uid="{3417B69F-0976-42AD-84BF-1C15AD56070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Jan.：1,016.69
Common Charge for Feb.：1,016.69
Real Estate Tax：2,738.04
Electricity: 43.51</t>
        </r>
      </text>
    </comment>
    <comment ref="N12" authorId="0" shapeId="0" xr:uid="{3C2B7C83-420C-4FAC-AB68-093F1E12172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Mar.：1,016.69
Electricity電気代11月27日〜12月31日: 48.23</t>
        </r>
      </text>
    </comment>
    <comment ref="O12" authorId="0" shapeId="0" xr:uid="{CB82237A-1707-43AD-BD35-72A74A986C2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Apr.：1,016.69
Property Tax: 2,738.04
Electricity 電気代12月31日〜1月31日: 43.44</t>
        </r>
      </text>
    </comment>
    <comment ref="P12" authorId="0" shapeId="0" xr:uid="{B04CAA61-4EB3-4657-B746-7C7E948A1B2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電気代1/31～3/4：46.52
</t>
        </r>
      </text>
    </comment>
    <comment ref="Q12" authorId="0" shapeId="0" xr:uid="{35CAA0EF-2F6E-4443-BFB2-601E2F7F880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電気代1/31～3/4：41.70
</t>
        </r>
      </text>
    </comment>
    <comment ref="R12" authorId="0" shapeId="0" xr:uid="{DC86CF3F-76FB-4C6C-B677-12212037ABE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電気代4/2～5/1：44.46
固定資産税1年：13,155.05
仲介手数料：4,350.00
水栓パイプ交換費用：700.00</t>
        </r>
      </text>
    </comment>
    <comment ref="S12" authorId="0" shapeId="0" xr:uid="{CE9CAD81-13B3-4017-9FCC-5A33711F5A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電気代5/1～6/2：145.10
※電気代の一部はテナント負担</t>
        </r>
      </text>
    </comment>
    <comment ref="U12" authorId="0" shapeId="0" xr:uid="{7ECB06CA-07B4-4764-AFBA-DD6DF3BDFD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</t>
        </r>
      </text>
    </comment>
    <comment ref="V12" authorId="0" shapeId="0" xr:uid="{E0136209-7478-41E3-813B-C63A0EE2DF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</t>
        </r>
      </text>
    </comment>
    <comment ref="X12" authorId="0" shapeId="0" xr:uid="{BCE3353F-A142-4577-A1F4-04060DE57C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保険料：630.00</t>
        </r>
      </text>
    </comment>
    <comment ref="Y12" authorId="0" shapeId="0" xr:uid="{7C4BBEB2-E950-4B37-B52F-EBDCC2D9E3A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コモンチャージ：1,016.69
銀行手数料11月分：10.00
銀行手数料12月分：10.00</t>
        </r>
      </text>
    </comment>
    <comment ref="Z12" authorId="0" shapeId="0" xr:uid="{632B79E6-DE65-49A8-97B3-146062E1875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コモンチャージ：1,092.84
管理費1月分遡及分：76.15
銀行手数料1月分：10.00
</t>
        </r>
        <r>
          <rPr>
            <u/>
            <sz val="9"/>
            <color indexed="81"/>
            <rFont val="MS P ゴシック"/>
            <family val="3"/>
            <charset val="128"/>
          </rPr>
          <t>固定資産税清算による返金：-70.29</t>
        </r>
      </text>
    </comment>
    <comment ref="AA12" authorId="0" shapeId="0" xr:uid="{6C4563D7-501E-4528-A405-C1232155C9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コモンチャージ：1,092.84
銀行手数料：10.00</t>
        </r>
      </text>
    </comment>
    <comment ref="AB12" authorId="0" shapeId="0" xr:uid="{7204F609-1C2B-4547-9268-C4934357CC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コモンチャージ：1,092.84
銀行手数料：10.00</t>
        </r>
      </text>
    </comment>
    <comment ref="AC12" authorId="0" shapeId="0" xr:uid="{7393D4A2-C296-4CA5-84B7-550FA049CE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コモンチャージ：1,092.84
銀行手数料：10.00</t>
        </r>
      </text>
    </comment>
    <comment ref="AD12" authorId="0" shapeId="0" xr:uid="{14984EF0-AB3E-435A-8010-4763A3C4BD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コモンチャージ：1,092.84
銀行手数料：10.00</t>
        </r>
      </text>
    </comment>
    <comment ref="Q31" authorId="0" shapeId="0" xr:uid="{99E9D85B-4C67-4D63-AFD6-8873E8B783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賃料：4,350.00</t>
        </r>
      </text>
    </comment>
    <comment ref="B32" authorId="0" shapeId="0" xr:uid="{85C4D8B8-A1D2-45C2-9AF8-289D17D778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CE960110-3658-40C1-8BE7-9C9373EA1E2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L36" authorId="0" shapeId="0" xr:uid="{4B419A6B-E435-4870-BFD8-DDECB47BCB3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Dec. 物件管理費・12月分 $150.00</t>
        </r>
      </text>
    </comment>
    <comment ref="M36" authorId="0" shapeId="0" xr:uid="{E98D1F10-E569-4208-BFE5-0A0B18825B5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Jan.：150</t>
        </r>
      </text>
    </comment>
    <comment ref="N36" authorId="0" shapeId="0" xr:uid="{76D28D7C-CDB3-438B-8AA2-BB10D96809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Feb.：150</t>
        </r>
      </text>
    </comment>
    <comment ref="O36" authorId="0" shapeId="0" xr:uid="{59B9C5C8-ABF0-490A-A260-328872320E7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Property managmengement fee for Mar.：150</t>
        </r>
      </text>
    </comment>
    <comment ref="P36" authorId="0" shapeId="0" xr:uid="{BD3D077F-0539-434C-BC5A-8DB432F5D28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管理費：150.00</t>
        </r>
      </text>
    </comment>
    <comment ref="Q36" authorId="0" shapeId="0" xr:uid="{407FABCE-1696-458A-BBFB-C21A42C2737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管理費：150.00</t>
        </r>
      </text>
    </comment>
    <comment ref="R36" authorId="0" shapeId="0" xr:uid="{CC331926-5CF6-4EB0-B4AB-B5711D97A8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管理費：4,350×6％</t>
        </r>
      </text>
    </comment>
    <comment ref="B37" authorId="0" shapeId="0" xr:uid="{25186527-E91A-42AE-83F4-1711A647F6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$2,738.92/ Quater
(Nov. 26 closing) 36 days credit to seller (=$2,738.92/92*36 days): $1,071.75
Legal Abstract LLC 
・Policy Premium: $2,996.00
・Recording Fees: $275.00
・Other Fees: $1,468.11
Downtown Athletic Club Condominium (Move In Deposit): $1,000.00
Downtown Athletic Club Condominium (Working Capital Contribution): $1,974.16
Nami New York Property, LLC (Reimbursements): $1,337.50
Lisa Stabile (Title Closer Fee): $300.00
D5 Law Office PLLC (Legal Fees and Expenses)
・Remainder of Legal Fee for Real Estate Transaction: $2,000.00
・Shipping and Administration Fees: $100.00
・Reimbursement of Condo Questionnaire Fee: $450.00
・Condo Closing Negotiation Fee (Removal of Personal Guaranty): $400.00
</t>
        </r>
        <r>
          <rPr>
            <b/>
            <u/>
            <sz val="9"/>
            <color indexed="81"/>
            <rFont val="MS P ゴシック"/>
            <family val="3"/>
            <charset val="128"/>
          </rPr>
          <t>下記、契約時に相殺した項目
Missing Key Credit to Buyer -$200.00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K37" authorId="0" shapeId="0" xr:uid="{776B719D-CB87-4E9F-8420-19DB671882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:$987.08/ month
(Nov. 26 closing) 5 days credit to seller(=$987.08/30*5 days): $164.51
</t>
        </r>
      </text>
    </comment>
    <comment ref="L37" authorId="0" shapeId="0" xr:uid="{F628F4C0-AB85-4779-A2A6-98C16C384BC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Downtown Athletic Club Condominium (Common Charge for Dec. 2024): $987.08
Paint, Repair &amp; Toilet Holder Installation ペンキ・修理・トイレットホルダー設置代 $3,030.00
Shades Installation シェード取替 $1,731.11
Owner's Insurance 所有者保険料 $611.00
Cleaning Fee 掃除代 $180.00
Copy of Keys 合い鍵代 $34.98
</t>
        </r>
      </text>
    </comment>
    <comment ref="M37" authorId="0" shapeId="0" xr:uid="{07623213-F76C-4B40-85F7-533F79D84E3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Jan.：1,016.69
Common Charge for Feb.：1,016.69
Real Estate Tax：912.68
Electricity: 43.51</t>
        </r>
      </text>
    </comment>
    <comment ref="N37" authorId="0" shapeId="0" xr:uid="{AA18FF84-4B70-4552-80AF-9F39F580FC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Mar.：1,016.69
Electricity電気代11月27日〜12月31日: 48.23
Real Estate Tax：912.68</t>
        </r>
      </text>
    </comment>
    <comment ref="O37" authorId="0" shapeId="0" xr:uid="{F353F66B-C2C6-4A5F-BD3C-D1E56E76AA5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for Apr.：1,016.69
Real Estate Tax：912.68
Electricity 電気代12月31日〜1月31日: 43.44</t>
        </r>
      </text>
    </comment>
    <comment ref="P37" authorId="0" shapeId="0" xr:uid="{AA41F67D-FB81-4A20-9B5E-A0B6200B9C2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固定資産税：912.68
コモンチャージ：1,016.69
電気代1/31～3/4：46.52</t>
        </r>
      </text>
    </comment>
    <comment ref="Q37" authorId="0" shapeId="0" xr:uid="{E1DC68DA-ED17-4BE5-A9A6-4333B922699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Tax：912.68
コモンチャージ：1,016.69
電気代1/31～3/4：41.70</t>
        </r>
      </text>
    </comment>
    <comment ref="R37" authorId="0" shapeId="0" xr:uid="{1FD20C8B-1EDA-4D33-85C7-928B9FA5711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Tax：912.68
コモンチャージ：1,016.69
電気代4/2～5/1：44.46
固定資産税1/12：1,096.26
仲介手数料：4,350.00
水栓パイプ交換費用：700.00</t>
        </r>
      </text>
    </comment>
    <comment ref="S37" authorId="0" shapeId="0" xr:uid="{44FAE870-EC78-4BE7-93D0-B32709098EA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固定資産税1/12：1,096.26
コモンチャージ：1,016.69
電気代5/1～6/2：145.10
※電気代の一部はテナント負担</t>
        </r>
      </text>
    </comment>
    <comment ref="U37" authorId="0" shapeId="0" xr:uid="{F51BD62B-17B8-414C-A78D-459E91F4E17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固定資産税1/12：1,096.26
コモンチャージ：1,016.69</t>
        </r>
      </text>
    </comment>
    <comment ref="V37" authorId="0" shapeId="0" xr:uid="{20A74568-9942-4E62-AB96-E8C8A4827A5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固定資産税1/12：1,096.26
コモンチャージ：1,016.69</t>
        </r>
      </text>
    </comment>
    <comment ref="W37" authorId="0" shapeId="0" xr:uid="{C5CEF36B-FE8C-47FB-94BC-5ACAAF03AA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固定資産税1/12：1,096.26
コモンチャージ：1,016.69</t>
        </r>
      </text>
    </comment>
    <comment ref="X37" authorId="0" shapeId="0" xr:uid="{006F2725-F810-40FC-8772-E75F7200E3F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コモンチャージ：1,016.69
所有者保険料：630.00</t>
        </r>
      </text>
    </comment>
    <comment ref="Y37" authorId="0" shapeId="0" xr:uid="{80D2230E-D770-4FC9-8600-36F0D6425BD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コモンチャージ：1,016.69
銀行手数料11月分：10.00
銀行手数料12月分：10.00</t>
        </r>
      </text>
    </comment>
    <comment ref="Z37" authorId="0" shapeId="0" xr:uid="{77743EE6-D2CF-47BB-B173-A09A100008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コモンチャージ：1,092.84
管理費1月分遡及分：76.15
銀行手数料1月分：10.00
固定資産税清算による返金：-70.29</t>
        </r>
      </text>
    </comment>
    <comment ref="AA37" authorId="0" shapeId="0" xr:uid="{580C6DEC-25A7-4111-ABCA-DDEA1B2305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コモンチャージ：1,092.84
銀行手数料：10.00</t>
        </r>
      </text>
    </comment>
    <comment ref="AB37" authorId="0" shapeId="0" xr:uid="{D47BDE20-6680-4106-B67D-9EADB61DD2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コモンチャージ：1,092.84
銀行手数料：10.00</t>
        </r>
      </text>
    </comment>
    <comment ref="AC37" authorId="0" shapeId="0" xr:uid="{AE86393F-D036-4FCE-8B1F-FEC659AF1ED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</t>
        </r>
      </text>
    </comment>
    <comment ref="AD37" authorId="0" shapeId="0" xr:uid="{0B7736D8-F85F-4C01-B28D-8D9140F821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固定資産税1/12：1,096.25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O6" authorId="0" shapeId="0" xr:uid="{931BC80B-4056-4CA1-9D76-12801D5CA17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賃料：4,200.00</t>
        </r>
      </text>
    </comment>
    <comment ref="B7" authorId="0" shapeId="0" xr:uid="{8BE27A10-3690-43C4-9672-A5E9F2A76DB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0AD350B4-D7BC-4684-8D09-2936A4766DB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L11" authorId="0" shapeId="0" xr:uid="{6423B28D-AE3F-452A-89B6-23A483B1BAD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管理手数料：45.16
12/18クロージング、14日間分管理手数料
＄100÷31日×14日＝45.16
※空室時は管理手数料＄100</t>
        </r>
      </text>
    </comment>
    <comment ref="M11" authorId="0" shapeId="0" xr:uid="{FF2B9F03-AFEF-41FA-A466-23EE1FDE94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管理手数料：100</t>
        </r>
      </text>
    </comment>
    <comment ref="N11" authorId="0" shapeId="0" xr:uid="{1B82C63D-BE97-4DB5-9332-13DA0135CF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管理手数料：100</t>
        </r>
      </text>
    </comment>
    <comment ref="O11" authorId="0" shapeId="0" xr:uid="{6539BB87-21CB-4634-BAD7-75224F6F772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管理手数料：252.00</t>
        </r>
      </text>
    </comment>
    <comment ref="P11" authorId="0" shapeId="0" xr:uid="{1CC85D98-2991-494E-89EF-884F3FBC40F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管理手数料：252.00</t>
        </r>
      </text>
    </comment>
    <comment ref="B12" authorId="0" shapeId="0" xr:uid="{BD8C128A-4277-4603-B397-892550BDB6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Assessment Adjustment :$1,249.00/ month
(Dec. 18 closing) 14 days credit to seller(=$1,249.00/31*14 days): $564.06
Real Estate Tax Adjustment : $3,098.72/ Quater
(Dec. 18 closing) 14 days credit to seller (=$3,098.72/92*14 days): $471.54
Real Estate Tax Overpayment (Period of Jan. 1 2025-Mar. 31 2025): credit to seller: $3,097.72
Legal Abstract LLC 
・Policy Premium: $3,590.00
・Recording Fees: $275.00
・Other Fees: $1,287.13
301 W53 Street Condominium (First Month's Assessment): $1,249.00
Schwartz Sladkus Reich Greenberg Atlas LLP (Escrow Funds): $17,587.20
New York Zone Property Management (Reimbursements): $3,815.60
Schwartz Sladkus Reich Greenberg Atlas LLP (Remainder of Condominium Legal Fee): $4,640.00
Lisa Stabile (Title Closer Fee): $300.00
D5 Law Office PLLC (Legal fee and expenses)
・Remainder of Legal Fee for Real Estate Transaction: $2,000.00
・Shipping and Administrative Fees: $100.00
・Reimbursement of Condo Questionnaire Fee: $300.00
・Review and Negotiation of Occupancy and Escrow Agreement: $2,080.00
</t>
        </r>
      </text>
    </comment>
    <comment ref="L12" authorId="0" shapeId="0" xr:uid="{5DBF7ED0-809B-4E58-9A00-93B3D2223E1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:$732.80/ month
(Dec. 18 closing) 14 days credit to seller(=$732.80/31*14 days): 330.94
保険料：803.00</t>
        </r>
      </text>
    </comment>
    <comment ref="M12" authorId="0" shapeId="0" xr:uid="{73B62433-5492-49F0-940A-0A14919B43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301 W53 Street Condominium (First Month's Common Charge) $732.80
</t>
        </r>
      </text>
    </comment>
    <comment ref="N12" authorId="0" shapeId="0" xr:uid="{3FD7A332-30FF-45A5-A94A-CFF55C874A5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Charge_管理組合費: 1,465.60
Assessment_修繕積立一時金-1: 1,249.00
Electricity_電気費: 41.58</t>
        </r>
      </text>
    </comment>
    <comment ref="O12" authorId="0" shapeId="0" xr:uid="{832C7D1A-3894-4B89-8BC5-2C79661ABC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修繕積立一時金：1,249.00
管理組合申請費：750.00
固定資産税：3,097.72
仲介手数料：4,200.00
修繕費(居室)：89.55
電気代：46.64
その他：-750.00</t>
        </r>
      </text>
    </comment>
    <comment ref="P12" authorId="0" shapeId="0" xr:uid="{433CF41C-E89B-41EC-A887-DDFCFB4B2B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修繕積立一時金：1,249.00</t>
        </r>
      </text>
    </comment>
    <comment ref="Q12" authorId="0" shapeId="0" xr:uid="{C28D7768-60A8-48E1-ABBA-8F9E5F6F5BB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修繕積立一時金：1,249.00</t>
        </r>
      </text>
    </comment>
    <comment ref="R12" authorId="0" shapeId="0" xr:uid="{3C5A145D-F82E-4C3D-86FE-A2C05189603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修繕積立一時金：1,249.00
固定資産税1年：12,338.88</t>
        </r>
      </text>
    </comment>
    <comment ref="S12" authorId="0" shapeId="0" xr:uid="{7D7DAF9C-0127-428E-8427-9BD4CFAE6B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修繕積立一時金：1,249.00</t>
        </r>
      </text>
    </comment>
    <comment ref="U12" authorId="0" shapeId="0" xr:uid="{AD53B9DD-4F4D-4158-88F6-5CB80E967BF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</t>
        </r>
      </text>
    </comment>
    <comment ref="V12" authorId="0" shapeId="0" xr:uid="{FE7BBC77-6356-4032-ACE6-783E806FF3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</t>
        </r>
      </text>
    </comment>
    <comment ref="W12" authorId="0" shapeId="0" xr:uid="{EEC38B28-3EC0-4D0F-9A54-88242FD9A6B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</t>
        </r>
      </text>
    </comment>
    <comment ref="Y12" authorId="0" shapeId="0" xr:uid="{BF73074F-5125-40BE-A0C7-A3D8CD7041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保険料：810.00</t>
        </r>
      </text>
    </comment>
    <comment ref="Z12" authorId="0" shapeId="0" xr:uid="{E3F63683-72CF-4CA6-B969-FD151F71B3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管理組合費：798.75
修繕費：821.99</t>
        </r>
      </text>
    </comment>
    <comment ref="AA12" authorId="0" shapeId="0" xr:uid="{9B563242-4A63-4FC0-9B12-54ED49E7290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管理組合費：798.75
</t>
        </r>
      </text>
    </comment>
    <comment ref="AB12" authorId="0" shapeId="0" xr:uid="{BE272E6B-9765-4018-B38A-FDC998EDEF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管理組合費：798.75
</t>
        </r>
      </text>
    </comment>
    <comment ref="AC12" authorId="0" shapeId="0" xr:uid="{0D6D2B24-B8D2-4613-9768-DC775CAFF9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管理組合費：798.75
</t>
        </r>
      </text>
    </comment>
    <comment ref="O31" authorId="0" shapeId="0" xr:uid="{4DD0C93B-4338-429A-BD21-8A062EE67B6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賃料：4,200.00</t>
        </r>
      </text>
    </comment>
    <comment ref="B32" authorId="0" shapeId="0" xr:uid="{289B9F9A-675F-4E25-A08E-73E3BB5C269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911D736C-4580-4578-A97E-400AB36DE6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L36" authorId="0" shapeId="0" xr:uid="{BF7FDE47-A5CF-4AAB-B873-C0353399B15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管理手数料：45.16
12/18クロージング、14日間分管理手数料
＄100÷31日×14日＝45.16
※空室時は管理手数料＄100</t>
        </r>
      </text>
    </comment>
    <comment ref="M36" authorId="0" shapeId="0" xr:uid="{AAC6615A-7672-4858-AE96-043B5BE3408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管理手数料：100</t>
        </r>
      </text>
    </comment>
    <comment ref="N36" authorId="0" shapeId="0" xr:uid="{C5768F2B-0A58-48DD-9BBD-55E8DA9E65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管理手数料：100</t>
        </r>
      </text>
    </comment>
    <comment ref="O36" authorId="0" shapeId="0" xr:uid="{D875B713-A1F3-4229-A42F-F6EAFE6993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管理手数料：252.00</t>
        </r>
      </text>
    </comment>
    <comment ref="P36" authorId="0" shapeId="0" xr:uid="{C0735DBE-C64D-423B-942C-A3F63EDD4A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管理手数料：252.00</t>
        </r>
      </text>
    </comment>
    <comment ref="B37" authorId="0" shapeId="0" xr:uid="{110CD74C-6616-423C-BC70-EF627699937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Assessment Adjustment :$1,249.00/ month
(Dec. 18 closing) 14 days credit to seller(=$1,249.00/31*14 days): $564.06
Real Estate Tax Adjustment : $3,098.72/ Quater
(Dec. 18 closing) 14 days credit to seller (=$3,098.72/92*14 days): $471.54
Real Estate Tax Overpayment (Period of Jan. 1 2025-Mar. 31 2025): credit to seller: $3,097.72
Legal Abstract LLC 
・Policy Premium: $3,590.00
・Recording Fees: $275.00
・Other Fees: $1,287.13
301 W53 Street Condominium (First Month's Assessment): $1,249.00
Schwartz Sladkus Reich Greenberg Atlas LLP (Escrow Funds): $17,587.20
New York Zone Property Management (Reimbursements): $3,815.60
Schwartz Sladkus Reich Greenberg Atlas LLP (Remainder of Condominium Legal Fee): $4,640.00
Lisa Stabile (Title Closer Fee): $300.00
D5 Law Office PLLC (Legal fee and expenses)
・Remainder of Legal Fee for Real Estate Transaction: $2,000.00
・Shipping and Administrative Fees: $100.00
・Reimbursement of Condo Questionnaire Fee: $300.00
・Review and Negotiation of Occupancy and Escrow Agreement: $2,080.00
</t>
        </r>
      </text>
    </comment>
    <comment ref="L37" authorId="0" shapeId="0" xr:uid="{B08C1C08-5726-4D53-97DE-DCD7705E3D8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:$732.80/ month
(Dec. 18 closing) 14 days credit to seller(=$732.80/31*14 days): 330.94
保険料：803.00</t>
        </r>
      </text>
    </comment>
    <comment ref="M37" authorId="0" shapeId="0" xr:uid="{046D400C-2CDF-4363-9ED6-028B2BC77B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301 W53 Street Condominium (First Month's Common Charge) $732.80</t>
        </r>
      </text>
    </comment>
    <comment ref="N37" authorId="0" shapeId="0" xr:uid="{196B172F-BCD0-4C7D-8318-B6FE5B5688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Charge_管理組合費: 1,465.60
Assessment_修繕積立一時金-1: 1,249.00
Electricity_電気費: 41.58</t>
        </r>
      </text>
    </comment>
    <comment ref="O37" authorId="0" shapeId="0" xr:uid="{E9527275-504E-49F4-B497-D88FF835A0B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修繕積立一時金：1,249.00
管理組合申請費：750.00
固定資産税：1,032.58
仲介手数料：4,200.00
修繕費(居室)：89.55
電気代：46.64
その他：-750.00</t>
        </r>
      </text>
    </comment>
    <comment ref="P37" authorId="0" shapeId="0" xr:uid="{DAD3D4AF-3460-4D87-A221-59127132D97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固定資産税：1,032.57
管理組合費：732.80
修繕積立一時金：1,249.00</t>
        </r>
      </text>
    </comment>
    <comment ref="Q37" authorId="0" shapeId="0" xr:uid="{99833336-3036-4416-8627-23416D6AFFA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固定資産税：1,032.57
管理組合費：732.80
修繕積立一時金：1,249.00</t>
        </r>
      </text>
    </comment>
    <comment ref="R37" authorId="0" shapeId="0" xr:uid="{6D81EAFE-F195-4243-8429-54F91E445FA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管理組合費：732.80
修繕積立一時金：1,249.00
固定資産税1/12：1,028.24</t>
        </r>
      </text>
    </comment>
    <comment ref="S37" authorId="0" shapeId="0" xr:uid="{A1310A4F-67E2-466F-80DF-D47E095ED0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
修繕積立一時金：1,249.00</t>
        </r>
      </text>
    </comment>
    <comment ref="U37" authorId="0" shapeId="0" xr:uid="{EE9F58FA-FDC4-4178-B9A1-3D5E636BA07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</t>
        </r>
      </text>
    </comment>
    <comment ref="V37" authorId="0" shapeId="0" xr:uid="{1F047F14-D22E-4E4C-9737-B445437C32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</t>
        </r>
      </text>
    </comment>
    <comment ref="W37" authorId="0" shapeId="0" xr:uid="{ED01D941-E2C1-4C0E-8332-DEB151873A4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</t>
        </r>
      </text>
    </comment>
    <comment ref="X37" authorId="0" shapeId="0" xr:uid="{57146377-579F-4677-8760-EC0F9BF9751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</t>
        </r>
      </text>
    </comment>
    <comment ref="Y37" authorId="0" shapeId="0" xr:uid="{34F225B5-4314-4DB7-9B70-5DF5B46D785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管理組合費：732.80
保険料：810.00</t>
        </r>
      </text>
    </comment>
    <comment ref="Z37" authorId="0" shapeId="0" xr:uid="{B3C9E50F-8BC7-4583-9AF8-4A878499C9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管理組合費：798.75
修繕費：821.99</t>
        </r>
      </text>
    </comment>
    <comment ref="AA37" authorId="0" shapeId="0" xr:uid="{F5D90AC2-E1AE-4D82-B735-48BC46CFE81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
管理組合費：798.75</t>
        </r>
      </text>
    </comment>
    <comment ref="AB37" authorId="0" shapeId="0" xr:uid="{2E3A88E2-425B-4251-8F43-DC3B5FF298E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</t>
        </r>
      </text>
    </comment>
    <comment ref="AC37" authorId="0" shapeId="0" xr:uid="{050E82B0-F69A-46BC-8411-E52A867D13C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</t>
        </r>
      </text>
    </comment>
    <comment ref="AD37" authorId="0" shapeId="0" xr:uid="{02C6E6CB-19B8-4A44-884E-F367F76A003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固定資産税1/12：1,028.24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V6" authorId="0" shapeId="0" xr:uid="{67663CC5-3F8C-4D76-BBD8-5FCD552BE9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申込フィー5件：75.00
日割り賃料6日分：976.43</t>
        </r>
      </text>
    </comment>
    <comment ref="W6" authorId="0" shapeId="0" xr:uid="{AD0C7554-353D-4AE0-8271-1C6FAE004C9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賃料：4,950.00</t>
        </r>
      </text>
    </comment>
    <comment ref="B7" authorId="0" shapeId="0" xr:uid="{F2073D0B-2662-4048-B1DA-24E5D8ABE1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44697634-35B9-4B55-A26A-F264097245B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S11" authorId="0" shapeId="0" xr:uid="{D4EA0C1E-9766-4BFD-AF00-CE690ADA118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空室時管理費</t>
        </r>
      </text>
    </comment>
    <comment ref="W11" authorId="0" shapeId="0" xr:uid="{EE55CD7C-11ED-41E3-ABE3-BDA9DC2CA3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B12" authorId="0" shapeId="0" xr:uid="{5ECF6FA4-B1FE-480E-83BB-09DB9DB836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$2,635.32/quarter
(Jul. 22 closing) - 71 days credit to seller (=$2,635.32/92* 71 days) :$2,033.78
Legal Abstract LLC （タイトルカンパニーへの支払い。以下内訳。）
・Policy Premium: $3,542.00
・Recording Fees: $275.00
・Other Fees: $1,246.00
Relo Redac, Inc. (Reimbursements)
・Attorney Fee (Retainer) for real estate transaction (D5 Law Office): $2,000.00
・Processing Fee: $500.00
・Home Inspection Fee: $1,028,97
・Homeowner's Insurance: $621.00
・Messenger Fees: $111.57
Relo Redac, Inc. (Management Reserve Fee): $11,000.00
Metro Closers, LLC (Title Closer Fee): $300.00
D5 Law Office PLLC
・Remainder of Legal Fee: $2,000.00
・Shipping and Administrative Fees: $100.00</t>
        </r>
      </text>
    </comment>
    <comment ref="S12" authorId="0" shapeId="0" xr:uid="{1A2E7CFD-459D-47ED-8B8D-7B54762FC41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 $298.16
銀行手数料：12.00</t>
        </r>
      </text>
    </comment>
    <comment ref="U12" authorId="0" shapeId="0" xr:uid="{55DADDB9-DDEE-476E-B8AC-D6F8ED00588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コモンチャージ（決済時）: 924.31
</t>
        </r>
      </text>
    </comment>
    <comment ref="V12" authorId="0" shapeId="0" xr:uid="{52CFC9D3-D13F-4633-B8FB-9713BE13606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クリーニング代：544.38
コモンチャージ：924.31
修理修繕費：21,096.71
固定資産税：7,879.87
仲介手数料：4,950.00
コーディネーション代：2,109.67
申込フィー：75.00
バンクチャージ：12.00</t>
        </r>
      </text>
    </comment>
    <comment ref="W12" authorId="0" shapeId="0" xr:uid="{52CE7280-13DE-4215-B0A6-521DEEBAD7A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コモンチャージ：924.31
広告費：304.85
電気代：30.24</t>
        </r>
      </text>
    </comment>
    <comment ref="X12" authorId="0" shapeId="0" xr:uid="{4D621F0A-10B9-4833-86C5-AB6C8E4186C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コモンチャージ：924.31
</t>
        </r>
      </text>
    </comment>
    <comment ref="Y12" authorId="0" shapeId="0" xr:uid="{642FF0C5-3DA3-4D8D-BB71-9E6001E7450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コモンチャージ：924.31
Gas Detector：25.00</t>
        </r>
      </text>
    </comment>
    <comment ref="Z12" authorId="0" shapeId="0" xr:uid="{31D24B89-8CF2-4A35-AE31-299FFADA72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コモンチャージ：952.04</t>
        </r>
      </text>
    </comment>
    <comment ref="AA12" authorId="0" shapeId="0" xr:uid="{EBDF7CBA-FFED-43E1-96D4-AEE7CE02BFA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コモンチャージ：952.04</t>
        </r>
      </text>
    </comment>
    <comment ref="AB12" authorId="0" shapeId="0" xr:uid="{424F94DD-34F4-43F6-9212-2B38C01B4AB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コモンチャージ：952.04</t>
        </r>
      </text>
    </comment>
    <comment ref="V31" authorId="0" shapeId="0" xr:uid="{DA363D61-DFA6-4224-A448-A0A685ADE6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申込フィー5件：75.00
日割り賃料6日分：976.43</t>
        </r>
      </text>
    </comment>
    <comment ref="W31" authorId="0" shapeId="0" xr:uid="{F7B96226-AC54-4E45-8F33-9CAB70AE422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賃料：4,950.00</t>
        </r>
      </text>
    </comment>
    <comment ref="B32" authorId="0" shapeId="0" xr:uid="{8C94640F-BD42-40DD-B7AF-ADF0EF1175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F595FF11-A804-4FE4-9990-462486FAA5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S36" authorId="0" shapeId="0" xr:uid="{3D0AE99A-3EEF-4132-8B8E-90C1136250A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空室時管理費</t>
        </r>
      </text>
    </comment>
    <comment ref="W36" authorId="0" shapeId="0" xr:uid="{E4A477CE-5EA9-4465-92F4-0CF341A942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B37" authorId="0" shapeId="0" xr:uid="{A3CDAC54-CCBA-4CF1-92DC-7DC6B856FE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$2,635.32/quarter
(Jul. 22 closing) - 71 days credit to seller (=$2,635.32/92* 71 days) :$2,033.78
Legal Abstract LLC （タイトルカンパニーへの支払い。以下内訳。）
・Policy Premium: $3,542.00
・Recording Fees: $275.00
・Other Fees: $1,246.00
Relo Redac, Inc. (Reimbursements)
・Attorney Fee (Retainer) for real estate transaction (D5 Law Office): $2,000.00
・Processing Fee: $500.00
・Home Inspection Fee: $1,028,97
・Homeowner's Insurance: $621.00
・Messenger Fees: $111.57
Relo Redac, Inc. (Management Reserve Fee): $11,000.00
Metro Closers, LLC (Title Closer Fee): $300.00
D5 Law Office PLLC
・Remainder of Legal Fee: $2,000.00
・Shipping and Administrative Fees: $100.00</t>
        </r>
      </text>
    </comment>
    <comment ref="S37" authorId="0" shapeId="0" xr:uid="{4D49A2CA-E6FA-4D2C-A2AF-9D10675DA84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Common Charge Adjustment : $298.16
銀行手数料：12.00</t>
        </r>
      </text>
    </comment>
    <comment ref="U37" authorId="0" shapeId="0" xr:uid="{31F23845-1AA4-45EE-8A61-E2CF9433C06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コモンチャージ（決済時）: 924.31
</t>
        </r>
      </text>
    </comment>
    <comment ref="V37" authorId="0" shapeId="0" xr:uid="{193F3EB8-623F-4C12-AA03-C756E8E2C88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クリーニング代：544.38
コモンチャージ：924.31
修理修繕費：21,096.71
固定資産税1/9：875.55
仲介手数料：4,950.00
コーディネーション代：2,109.67
申込フィー：75.00
バンクチャージ：12.00</t>
        </r>
      </text>
    </comment>
    <comment ref="W37" authorId="0" shapeId="0" xr:uid="{983A9371-B675-4670-9570-61BA84D7C52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
コモンチャージ：924.31
広告費：304.85
電気代：30.24</t>
        </r>
      </text>
    </comment>
    <comment ref="X37" authorId="0" shapeId="0" xr:uid="{B714E9D9-594C-4B3E-96BF-DA6BF781481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
コモンチャージ：924.31</t>
        </r>
      </text>
    </comment>
    <comment ref="Y37" authorId="0" shapeId="0" xr:uid="{98269B47-46DE-4ECB-A495-788203735F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
コモンチャージ：924.31
Gas Detector：25.00</t>
        </r>
      </text>
    </comment>
    <comment ref="Z37" authorId="0" shapeId="0" xr:uid="{C2BF4E78-1A5B-4581-8371-68E48D6A90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
コモンチャージ：952.04</t>
        </r>
      </text>
    </comment>
    <comment ref="AA37" authorId="0" shapeId="0" xr:uid="{BAFDEAF3-E9C5-4E18-8BF1-7065C945BA7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
コモンチャージ：952.04</t>
        </r>
      </text>
    </comment>
    <comment ref="AB37" authorId="0" shapeId="0" xr:uid="{91BE4A6E-0AC1-4C5A-A782-32DECCFF357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</t>
        </r>
      </text>
    </comment>
    <comment ref="AC37" authorId="0" shapeId="0" xr:uid="{6C3421CF-E729-4F9B-B3B3-C068AF57E84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</t>
        </r>
      </text>
    </comment>
    <comment ref="AD37" authorId="0" shapeId="0" xr:uid="{E737E23F-CD88-4C87-A6F5-41E18BEABF5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固定資産税1/9：875.54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X6" authorId="0" shapeId="0" xr:uid="{B08A8048-E0E1-4A56-ACB7-F730BD6CD4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申込フィー：15.00</t>
        </r>
      </text>
    </comment>
    <comment ref="Y6" authorId="0" shapeId="0" xr:uid="{0FFB3030-5CDE-498E-9A58-7867CF08344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申込フィー：15.00
</t>
        </r>
      </text>
    </comment>
    <comment ref="Z6" authorId="0" shapeId="0" xr:uid="{EC03AAAE-C711-485D-B82B-5E7C9F17EE1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按分賃料：3,549.04</t>
        </r>
      </text>
    </comment>
    <comment ref="AA6" authorId="0" shapeId="0" xr:uid="{186EB076-5282-4363-A3AC-9EE40D76F26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賃料6,350.00
</t>
        </r>
      </text>
    </comment>
    <comment ref="AB6" authorId="0" shapeId="0" xr:uid="{0FFCBEC0-6E06-48F3-99CF-30313C9FA4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賃料6,350.00
電気代払戻し：193.59</t>
        </r>
      </text>
    </comment>
    <comment ref="B7" authorId="0" shapeId="0" xr:uid="{EDE87B10-D069-409B-BCF0-CF20A8408B7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40A93BE2-3FAE-4DE2-9069-E828ED4983B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Z11" authorId="0" shapeId="0" xr:uid="{D662D4A5-2506-4D35-A02A-69C60F2F84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AA11" authorId="0" shapeId="0" xr:uid="{A33943AE-74D7-4C3F-B7BB-805C49D9B9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AB11" authorId="0" shapeId="0" xr:uid="{1BC832DB-4C25-4A1A-AF72-979ED445FC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B12" authorId="0" shapeId="0" xr:uid="{EE61A0E4-89A7-4669-8D06-AD002A214F5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$4,428.41/quarter
(October 16 closing) - 77 days credit to seller (=$4,428.41/92*77 days):$3,706.01
Legal Abstract LLC （タイトルカンパニーへの支払い。以下内訳。）
・Policy Premium: $4,681.00
・Recording Fees: $275.00
・Mansion Tax: $11,150.00
・Other Fees: $1,282.69
The Astor Condominium (Working Capital Contribution):$1,208.69
The Astor Condominium (Residence Manager Unit Fee):$12,891.39
Relo Redac, Inc. (Reimbursements)
・Attorney Fee (Retainer) for real estate transaction (D5 Law Office): $2,000.00
・Messenger Fee: $37.02 (To D5 Law Office)
・Messenger Fee: $37.19 (To State Farm)
・Homeowner's Insurance: $726.00
・Home Inspection Fee: $1,028.97
Relo Redac, Inc. (Management Reserve Fee): $16,000.00
Lisat Stabile - Title Closer Fee: $300.00
D5 Law Office PLLC
・Remainder of Legal Fee: $2,000.00
・Condo Questionnaire Fee:$300.00
・Shipping and Administrative Fee: $100.00</t>
        </r>
      </text>
    </comment>
    <comment ref="W12" authorId="0" shapeId="0" xr:uid="{15BABCE1-89CF-4888-99E9-879243B2F7D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コモンチャージ調整費
$1208.69/31×16 days＝623.84
バンクチャージ：12.00</t>
        </r>
      </text>
    </comment>
    <comment ref="X12" authorId="0" shapeId="0" xr:uid="{5F060FA3-BDBF-4953-8E6B-1BC8AA6FD5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電気ガス代：271.00
申込フィー：15.00</t>
        </r>
      </text>
    </comment>
    <comment ref="Y12" authorId="0" shapeId="0" xr:uid="{8B37DB52-0F66-4480-BB9E-52ABE2CAFFA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電気ガス代：59.43
申込フィー：15.00
バンクチャージ：12.00
固定資産税：8,755.47</t>
        </r>
      </text>
    </comment>
    <comment ref="Z12" authorId="0" shapeId="0" xr:uid="{36454C32-6BDA-4757-93F5-3177F9B950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メンテナンス：300.00
契約手数料：6,350.00</t>
        </r>
      </text>
    </comment>
    <comment ref="AA12" authorId="0" shapeId="0" xr:uid="{8E98DA56-AE78-4F24-8A67-9E7312427CB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メンテナンス：190.53
</t>
        </r>
      </text>
    </comment>
    <comment ref="AB12" authorId="0" shapeId="0" xr:uid="{DE377F80-DF14-4F0F-94D6-C7B403CA8D7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メンテナンス：190.53
</t>
        </r>
      </text>
    </comment>
    <comment ref="X31" authorId="0" shapeId="0" xr:uid="{1722734E-654B-4ED3-8559-659EE7C23E0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申込フィー：15.00</t>
        </r>
      </text>
    </comment>
    <comment ref="Y31" authorId="0" shapeId="0" xr:uid="{DC70048F-A974-4B8D-BCFD-F6E481B673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申込フィー：15.00
</t>
        </r>
      </text>
    </comment>
    <comment ref="Z31" authorId="0" shapeId="0" xr:uid="{7B4D7ECE-E4C3-413B-B507-9195C97B076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按分賃料：3,549.04</t>
        </r>
      </text>
    </comment>
    <comment ref="AA31" authorId="0" shapeId="0" xr:uid="{C7732CD5-ECD8-4609-B1A7-D9E085DEF5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賃料6,350.00
</t>
        </r>
      </text>
    </comment>
    <comment ref="AB31" authorId="0" shapeId="0" xr:uid="{1819B2CE-79E7-4AE3-ACBA-AB181B18CF3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賃料6,350.00
電気代払戻し：193.59</t>
        </r>
      </text>
    </comment>
    <comment ref="B32" authorId="0" shapeId="0" xr:uid="{5D2C73A4-E098-4D79-91C4-6EF6277249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1A97BA91-CCF1-41F1-B61C-CD76EFA4AC0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Z36" authorId="0" shapeId="0" xr:uid="{E654FD52-4BB7-4536-8B9A-92F41857A0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AA36" authorId="0" shapeId="0" xr:uid="{DE729AC1-27F8-452A-8225-08609AB22F9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AB36" authorId="0" shapeId="0" xr:uid="{45743B93-FD9E-44AF-B041-4C34420EC4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管理費7％：445.50</t>
        </r>
      </text>
    </comment>
    <comment ref="B37" authorId="0" shapeId="0" xr:uid="{2E0B3236-67B3-4246-AFA2-66D88F94306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(固定資産税調整): $4,428.41/quarter
(October 16 closing) - 77 days credit to seller (=$4,428.41/92*77 days):$3,706.01
Legal Abstract LLC （タイトルカンパニーへの支払い。以下内訳。）
・Policy Premium: $4,681.00
・Recording Fees: $275.00
・Mansion Tax: $11,150.00
・Other Fees: $1,282.69
The Astor Condominium (Working Capital Contribution):$1,208.69
The Astor Condominium (Residence Manager Unit Fee):$12,891.39
Relo Redac, Inc. (Reimbursements)
・Attorney Fee (Retainer) for real estate transaction (D5 Law Office): $2,000.00
・Messenger Fee: $37.02 (To D5 Law Office)
・Messenger Fee: $37.19 (To State Farm)
・Homeowner's Insurance: $726.00
・Home Inspection Fee: $1,028.97
Relo Redac, Inc. (Management Reserve Fee): $16,000.00
Lisat Stabile - Title Closer Fee: $300.00
D5 Law Office PLLC
・Remainder of Legal Fee: $2,000.00
・Condo Questionnaire Fee:$300.00
・Shipping and Administrative Fee: $100.00</t>
        </r>
      </text>
    </comment>
    <comment ref="W37" authorId="0" shapeId="0" xr:uid="{ABF05808-E44E-4B34-8D2C-60015ED02B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コモンチャージ調整費
$1208.69/31×16 days＝623.84
バンクチャージ：12.00</t>
        </r>
      </text>
    </comment>
    <comment ref="X37" authorId="0" shapeId="0" xr:uid="{02024236-A4EE-4230-96D5-DAF362A9565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電気ガス代：271.00
申込フィー：15.00</t>
        </r>
      </text>
    </comment>
    <comment ref="Y37" authorId="0" shapeId="0" xr:uid="{4108E6CA-C8B1-48D0-9D32-A57E941404B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コモンチャージ：1,208.69
電気ガス代：59.43
申込フィー：15.00
バンクチャージ：12.00
固定資産税1/6：1,459.27</t>
        </r>
      </text>
    </comment>
    <comment ref="Z37" authorId="0" shapeId="0" xr:uid="{7C8883F3-BC20-4C2E-9EBF-94C170C2BFA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固定資産税1/6：1,459.24
コモンチャージ：1,208.69
メンテナンス：300.00
契約手数料：6,350.00</t>
        </r>
      </text>
    </comment>
    <comment ref="AA37" authorId="0" shapeId="0" xr:uid="{6C930601-8B96-4C86-BBA5-5E026826511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固定資産税1/6：1,459.24
コモンチャージ：1,208.69
メンテナンス：190.53
</t>
        </r>
      </text>
    </comment>
    <comment ref="AB37" authorId="0" shapeId="0" xr:uid="{7F920CC8-7E49-44A0-90EA-08EAAADE8F6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固定資産税1/6：1,459.24</t>
        </r>
      </text>
    </comment>
    <comment ref="AC37" authorId="0" shapeId="0" xr:uid="{355C03E9-F825-414E-B705-237FE0C585F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固定資産税1/6：1,459.24</t>
        </r>
      </text>
    </comment>
    <comment ref="AD37" authorId="0" shapeId="0" xr:uid="{3C02BEF5-14EB-44BD-BB54-0C7B8859A2B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固定資産税1/6：1,459.24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U6" authorId="0" shapeId="0" xr:uid="{61F40228-DEBF-46EC-A57C-782F4D38F3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</t>
        </r>
      </text>
    </comment>
    <comment ref="W6" authorId="0" shapeId="0" xr:uid="{61A83756-63C8-444A-B48A-8DFA584201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電気代戻し：5.03</t>
        </r>
      </text>
    </comment>
    <comment ref="X6" authorId="0" shapeId="0" xr:uid="{48EB739B-F366-41C5-BA7D-D797C758AC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電気代戻し：39.81</t>
        </r>
      </text>
    </comment>
    <comment ref="Y6" authorId="0" shapeId="0" xr:uid="{1CB92191-5C18-4B7A-8809-593245955E7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電気代戻し：37.20</t>
        </r>
      </text>
    </comment>
    <comment ref="Z6" authorId="0" shapeId="0" xr:uid="{D0390DDA-AE01-4BDE-BD83-066057574D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電気代戻し：43.39</t>
        </r>
      </text>
    </comment>
    <comment ref="AA6" authorId="0" shapeId="0" xr:uid="{8F3C936B-FCAB-4ABA-9EAE-5466A987BE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</t>
        </r>
      </text>
    </comment>
    <comment ref="AB6" authorId="0" shapeId="0" xr:uid="{CEA793A4-553F-4C7C-8F3F-EDD0C1C5EC8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電気代戻し：177.67
</t>
        </r>
      </text>
    </comment>
    <comment ref="B7" authorId="0" shapeId="0" xr:uid="{86FBF41A-3FB7-4FAC-8EEB-85298DA98E8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319B3189-5003-4920-9F76-CF00F8DC83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11" authorId="0" shapeId="0" xr:uid="{F69F161F-559F-45F8-9175-9065B57AA4B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管理費：7％</t>
        </r>
      </text>
    </comment>
    <comment ref="U12" authorId="0" shapeId="0" xr:uid="{14867467-8843-4078-B59D-D973C672924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電気ガス代：55.45
送金手数料：0.38
メンテナンス：2,235.20
コーディネーションフィー：223.52</t>
        </r>
      </text>
    </comment>
    <comment ref="V12" authorId="0" shapeId="0" xr:uid="{CDDE0B68-AE18-44B0-AB43-C34ECD5D413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電気ガス代：52.01
送金手数料：0.38</t>
        </r>
      </text>
    </comment>
    <comment ref="W12" authorId="0" shapeId="0" xr:uid="{6568B3A0-1F08-4FEA-95AD-044CA08A2B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電気ガス代：39.81
送金手数料：0.33
冷蔵庫製氷機修理：1,801.88
ボードフィー：1,022.50
修理代手数料：180.18</t>
        </r>
      </text>
    </comment>
    <comment ref="X12" authorId="0" shapeId="0" xr:uid="{FB8622D2-A1FF-4DFA-ADC2-1BD8C0988EF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電気ガス代：37.20
送金手数料：0.33
クローゼット修理：696.80</t>
        </r>
      </text>
    </comment>
    <comment ref="Y12" authorId="0" shapeId="0" xr:uid="{FCB4FD5E-512E-411A-80F6-1662B2109F5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電気ガス代：43.39
送金手数料：0.33</t>
        </r>
      </text>
    </comment>
    <comment ref="Z12" authorId="0" shapeId="0" xr:uid="{71F7CAEF-7DBD-476D-908C-B488218706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電気ガス代：70.85
送金手数料：0.38</t>
        </r>
      </text>
    </comment>
    <comment ref="AA12" authorId="0" shapeId="0" xr:uid="{01A822F4-8BF7-4FE1-9113-160A87AC5F9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電気ガス代：106.82
保険料：740.00
</t>
        </r>
        <r>
          <rPr>
            <b/>
            <sz val="9"/>
            <color indexed="81"/>
            <rFont val="MS P ゴシック"/>
            <family val="3"/>
            <charset val="128"/>
          </rPr>
          <t>保証料戻し:-1,470.20</t>
        </r>
      </text>
    </comment>
    <comment ref="AB12" authorId="0" shapeId="0" xr:uid="{61C8F17C-3AD3-4A19-BA3D-7D5F3C034FE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電気ガス代：157.94
振込手数料：0.33
</t>
        </r>
        <r>
          <rPr>
            <b/>
            <sz val="9"/>
            <color indexed="81"/>
            <rFont val="MS P ゴシック"/>
            <family val="3"/>
            <charset val="128"/>
          </rPr>
          <t>保証料戻し:-29.80</t>
        </r>
      </text>
    </comment>
    <comment ref="U31" authorId="0" shapeId="0" xr:uid="{98AB7463-31F5-4100-8248-48EEEF9391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</t>
        </r>
      </text>
    </comment>
    <comment ref="W31" authorId="0" shapeId="0" xr:uid="{0F63CCD0-0715-43FC-B399-8D18E5F297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電気代戻し：5.03</t>
        </r>
      </text>
    </comment>
    <comment ref="X31" authorId="0" shapeId="0" xr:uid="{E5D8BB14-F62B-4B30-9838-32644125DD3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電気代戻し：39.81</t>
        </r>
      </text>
    </comment>
    <comment ref="Y31" authorId="0" shapeId="0" xr:uid="{7BC08A8D-C679-407C-BF63-2B69C03D26E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電気代戻し：37.20</t>
        </r>
      </text>
    </comment>
    <comment ref="Z31" authorId="0" shapeId="0" xr:uid="{1A6C91BF-C901-4234-BDB7-4571B35F96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電気代戻し：43.39</t>
        </r>
      </text>
    </comment>
    <comment ref="AA31" authorId="0" shapeId="0" xr:uid="{69689687-82D1-4801-B1DE-46A819912C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</t>
        </r>
      </text>
    </comment>
    <comment ref="AB31" authorId="0" shapeId="0" xr:uid="{4656FADC-8F7B-4391-ABA2-1C6DF25502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賃料：6,500.00
電気代戻し：177.67
</t>
        </r>
      </text>
    </comment>
    <comment ref="B32" authorId="0" shapeId="0" xr:uid="{22E2F84E-CA35-4ACF-B6EB-0515BBA3B0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CFBCCB44-B7F6-4079-84EA-4D57D1BE7D2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36" authorId="0" shapeId="0" xr:uid="{C0BD9D3B-92E1-4D38-BFD8-B7DF1D70E6F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管理費：7％</t>
        </r>
      </text>
    </comment>
    <comment ref="U37" authorId="0" shapeId="0" xr:uid="{AA959B14-87EA-41E6-8652-6B79B81D91F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電気ガス代：55.45
送金手数料：0.38
メンテナンス：2,235.20
コーディネーションフィー：223.52</t>
        </r>
      </text>
    </comment>
    <comment ref="V37" authorId="0" shapeId="0" xr:uid="{BB179AA6-9F3F-48BF-A113-C55E02327C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電気ガス代：52.01
送金手数料：0.38</t>
        </r>
      </text>
    </comment>
    <comment ref="W37" authorId="0" shapeId="0" xr:uid="{A40A6310-1089-461E-B3F1-A703B3D960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電気ガス代：39.81
送金手数料：0.33
冷蔵庫製氷機修理：1,801.88
ボードフィー：1,022.50
修理代手数料：180.18</t>
        </r>
      </text>
    </comment>
    <comment ref="X37" authorId="0" shapeId="0" xr:uid="{9AC7FB3D-5D7D-46B1-BA48-D62E27BBE2C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電気ガス代：37.20
送金手数料：0.33
クローゼット修理：696.80</t>
        </r>
      </text>
    </comment>
    <comment ref="Y37" authorId="0" shapeId="0" xr:uid="{076064AD-107C-461E-AEBF-E4A2D8CEC26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コモンチャージ：1,349.88
電気ガス代：43.39
送金手数料：0.33</t>
        </r>
      </text>
    </comment>
    <comment ref="Z37" authorId="0" shapeId="0" xr:uid="{4CCBD129-61A8-4D43-94F0-C52793EA50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電気ガス代：70.85
送金手数料：0.38</t>
        </r>
      </text>
    </comment>
    <comment ref="AA37" authorId="0" shapeId="0" xr:uid="{C417D2C1-2020-42DF-B92A-CC220CC2C1A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電気ガス代：106.82
保険料：740.00
</t>
        </r>
        <r>
          <rPr>
            <b/>
            <sz val="9"/>
            <color indexed="81"/>
            <rFont val="MS P ゴシック"/>
            <family val="3"/>
            <charset val="128"/>
          </rPr>
          <t>保証料戻し:-1,470.20</t>
        </r>
      </text>
    </comment>
    <comment ref="AB37" authorId="0" shapeId="0" xr:uid="{1CC20F5F-117D-4D1D-B494-696782F499D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コモンチャージ：1,363.38
電気ガス代：106.82
保険料：740.00
</t>
        </r>
        <r>
          <rPr>
            <b/>
            <sz val="9"/>
            <color indexed="81"/>
            <rFont val="MS P ゴシック"/>
            <family val="3"/>
            <charset val="128"/>
          </rPr>
          <t>保証料戻し:-1,470.20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U6" authorId="0" shapeId="0" xr:uid="{283CB638-4E82-4872-8FAA-5B96E6C9AAC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</t>
        </r>
      </text>
    </comment>
    <comment ref="Y6" authorId="0" shapeId="0" xr:uid="{3C68F478-BA91-407C-B86A-B7433E2010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新賃料：7,000.00</t>
        </r>
      </text>
    </comment>
    <comment ref="Z6" authorId="0" shapeId="0" xr:uid="{A22DD02E-ACB0-4D04-8DEC-62F615039F3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デポジットからリペア代金を引いた金額
4,697.10 - 4,533.78
</t>
        </r>
      </text>
    </comment>
    <comment ref="AA6" authorId="0" shapeId="0" xr:uid="{E35C77B3-3FD6-40D3-A444-8C2519B9A3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申込費：15.00
</t>
        </r>
      </text>
    </comment>
    <comment ref="B7" authorId="0" shapeId="0" xr:uid="{33901E95-5777-48BB-A22F-01CA575BA94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339126FD-4FDB-4ACA-AD39-D6C64B3F0E6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11" authorId="0" shapeId="0" xr:uid="{4F8D7DD4-3308-4DD4-BC7D-6A47DD29C00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管理費：8％</t>
        </r>
      </text>
    </comment>
    <comment ref="V11" authorId="0" shapeId="0" xr:uid="{4AC80BFB-129A-4B92-BA2F-347706F5CE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Y11" authorId="0" shapeId="0" xr:uid="{87E419B4-2F4B-4210-93B4-CC505E81C6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4,700×7％</t>
        </r>
      </text>
    </comment>
    <comment ref="AA11" authorId="0" shapeId="0" xr:uid="{14E912C0-44BE-4A4D-9F40-48F3549BE49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4,700×3.5％</t>
        </r>
      </text>
    </comment>
    <comment ref="U12" authorId="0" shapeId="0" xr:uid="{EE411452-D985-4DEB-B8FC-C344DA6B6D7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
タックスペナルティ：25.57
雑費：6.04</t>
        </r>
      </text>
    </comment>
    <comment ref="V12" authorId="0" shapeId="0" xr:uid="{834AB5BA-60BE-4563-968F-55A6F24F49E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W12" authorId="0" shapeId="0" xr:uid="{2953571E-18D0-4286-9B68-EF2EB7BC81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X12" authorId="0" shapeId="0" xr:uid="{3A8BB939-66EF-486F-89F2-477DC1C9AED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Y12" authorId="0" shapeId="0" xr:uid="{6EFBFC3E-CC26-49EE-BA5D-7ABDA50120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Z12" authorId="0" shapeId="0" xr:uid="{3E1E6AED-71F0-4AA2-A2E9-40D8185A873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AA12" authorId="0" shapeId="0" xr:uid="{56D16D02-EEB4-4607-B51E-B7782370814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コモンチャージ：720.89
コモンチャージアセスメント：38.28
コモンチャージアセスメント：160.58
電子レンジ購入：1,1523.16
電気、ガス代: 496.00
修繕:3,507.00
クリーニング：587.93
コーディネーション費：503.01
申込費:15.00
</t>
        </r>
      </text>
    </comment>
    <comment ref="AB12" authorId="0" shapeId="0" xr:uid="{F485AC17-A3B0-4E59-ACF3-0B85AF17056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コモンチャージ：720.89
コモンチャージアセスメント：38.28
コモンチャージアセスメント：160.58
クリーニング：272.19
電気、ガス代: 194.82
管理手数料：5,200.00
</t>
        </r>
      </text>
    </comment>
    <comment ref="U31" authorId="0" shapeId="0" xr:uid="{56C659D3-94A0-4251-B274-3D24625B9FB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賃料：4,600.00</t>
        </r>
      </text>
    </comment>
    <comment ref="Y31" authorId="0" shapeId="0" xr:uid="{49A22C83-449A-45CB-8E61-99499F833C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新賃料：7,000.00</t>
        </r>
      </text>
    </comment>
    <comment ref="Z31" authorId="0" shapeId="0" xr:uid="{2AB69B1C-26B9-48EF-A2D6-64A19829168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デポジットからリペア代金を引いた金額
4,697.10 - 4,533.78
</t>
        </r>
      </text>
    </comment>
    <comment ref="AA31" authorId="0" shapeId="0" xr:uid="{FB1415AE-AC37-477C-A703-2051A333B5B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申込費：15.00
</t>
        </r>
      </text>
    </comment>
    <comment ref="B32" authorId="0" shapeId="0" xr:uid="{BE6579F3-D50B-4836-80A1-B0F17961A0A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5267C078-D62E-4EFE-9B7D-F902B8DC42E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36" authorId="0" shapeId="0" xr:uid="{FA201BAB-C4C9-44E8-B883-12366C69659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管理費：8％</t>
        </r>
      </text>
    </comment>
    <comment ref="V36" authorId="0" shapeId="0" xr:uid="{7C130ECB-7C32-4215-B467-AE7C8F8C472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Y36" authorId="0" shapeId="0" xr:uid="{CD84FDCF-84B3-463E-A825-78BD58CEC21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4,700×7％</t>
        </r>
      </text>
    </comment>
    <comment ref="AA36" authorId="0" shapeId="0" xr:uid="{34D7BB36-5700-4A9F-8BB2-C24B18A0938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4,700×3.5％</t>
        </r>
      </text>
    </comment>
    <comment ref="U37" authorId="0" shapeId="0" xr:uid="{184E2E10-DA94-42C6-BBF2-46744D2CB2C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
タックスペナルティ：25.57
雑費：6.04</t>
        </r>
      </text>
    </comment>
    <comment ref="V37" authorId="0" shapeId="0" xr:uid="{C049D06C-A69F-49F1-84D7-ED3BCD89123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W37" authorId="0" shapeId="0" xr:uid="{FEB0B6F5-2D6E-466A-AFBE-E040AD576DE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X37" authorId="0" shapeId="0" xr:uid="{23B0E425-43AC-4BB6-B53F-2A703C6D967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Y37" authorId="0" shapeId="0" xr:uid="{5252D6FB-0991-47B4-A997-8917E58C5C9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Z37" authorId="0" shapeId="0" xr:uid="{817AFEC4-7F3F-4318-82A6-A2CE928657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コモンチャージ：667.49
コモンチャージアセスメント：38.28
コモンチャージアセスメント：160.58</t>
        </r>
      </text>
    </comment>
    <comment ref="AA37" authorId="0" shapeId="0" xr:uid="{89545BF7-B8DD-4726-B8E1-3D1099AD4D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コモンチャージ：720.89
コモンチャージアセスメント：38.28
コモンチャージアセスメント：160.58
電子レンジ購入：1,1523.16
電気、ガス代: 496.00
修繕:3,507.00
クリーニング：587.93
コーディネーション費：503.01
申込費:15.00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U6" authorId="0" shapeId="0" xr:uid="{5A10887E-182A-4BC2-9F4C-DC647E0550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賃料：4,500.00</t>
        </r>
      </text>
    </comment>
    <comment ref="W6" authorId="0" shapeId="0" xr:uid="{FBDD4760-CAA0-4E9A-B847-B108BD4C42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賃料：4,500.00
払戻し：60.00
</t>
        </r>
      </text>
    </comment>
    <comment ref="B7" authorId="0" shapeId="0" xr:uid="{26DB1B31-5CB7-48CC-BF0A-C11693BB30B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FC1E90C8-93D9-4589-8E01-B4F32DB171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11" authorId="0" shapeId="0" xr:uid="{9E3BCD50-FB04-4B43-91D5-70A8F207E2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管理費：8％</t>
        </r>
      </text>
    </comment>
    <comment ref="V11" authorId="0" shapeId="0" xr:uid="{C44766C7-6BFA-4D07-96D2-8440C79836C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U12" authorId="0" shapeId="0" xr:uid="{2299FDCD-E00E-40EF-9642-1D9BEA3CFAC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
メンテナンス：1,382.66</t>
        </r>
      </text>
    </comment>
    <comment ref="V12" authorId="0" shapeId="0" xr:uid="{492316BE-12FC-4CDB-981D-E9954211464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
トイレ修繕：100.00
冷蔵庫修理：2,176.41
コーディネート費：217.64</t>
        </r>
      </text>
    </comment>
    <comment ref="W12" authorId="0" shapeId="0" xr:uid="{B191E9F2-9754-4AFA-A40E-6AC9FF46120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</t>
        </r>
      </text>
    </comment>
    <comment ref="X12" authorId="0" shapeId="0" xr:uid="{29C1D0D3-8A30-4932-8383-CF75259887C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</t>
        </r>
      </text>
    </comment>
    <comment ref="Z12" authorId="0" shapeId="0" xr:uid="{68471BF7-288C-498C-BFB9-CAE6565A16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  <comment ref="AA12" authorId="0" shapeId="0" xr:uid="{48DD22F3-FA99-4718-A5AB-626D9AD3CF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  <comment ref="AB12" authorId="0" shapeId="0" xr:uid="{66270CC0-E967-48C7-92E8-379804E255A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  <comment ref="U31" authorId="0" shapeId="0" xr:uid="{120879FE-7B84-4F98-8472-D51E2723D18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賃料：4,500.00</t>
        </r>
      </text>
    </comment>
    <comment ref="W31" authorId="0" shapeId="0" xr:uid="{D6414B48-46D8-47BB-947F-8D77F6A080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賃料：4,500.00
払戻し：60.00
</t>
        </r>
      </text>
    </comment>
    <comment ref="B32" authorId="0" shapeId="0" xr:uid="{7C4F68B7-AC9E-44AF-A8E8-3B951673140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5A046256-0F47-4A4A-A70F-12C6515B054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</t>
        </r>
      </text>
    </comment>
    <comment ref="U36" authorId="0" shapeId="0" xr:uid="{2A8A6A93-AA51-44AF-A86B-2CB654399D0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管理費：8％</t>
        </r>
      </text>
    </comment>
    <comment ref="V36" authorId="0" shapeId="0" xr:uid="{CA632CE1-2FA8-4E6A-8870-FC45C0F3544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管理費7％</t>
        </r>
      </text>
    </comment>
    <comment ref="U37" authorId="0" shapeId="0" xr:uid="{FBE05784-382A-41D8-93C0-2C7584C455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
メンテナンス：1,382.66</t>
        </r>
      </text>
    </comment>
    <comment ref="V37" authorId="0" shapeId="0" xr:uid="{A1A9C663-FE5E-4213-8EF3-8CD396B37F2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
トイレ修繕：100.00
冷蔵庫修理：2,176.41
コーディネート費：217.64</t>
        </r>
      </text>
    </comment>
    <comment ref="W37" authorId="0" shapeId="0" xr:uid="{954253E3-38E9-4392-8ACD-332A5C4F96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</t>
        </r>
      </text>
    </comment>
    <comment ref="X37" authorId="0" shapeId="0" xr:uid="{87EB4B91-A63E-4804-8AE8-FBA9F26F732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コモンチャージ：905.24</t>
        </r>
      </text>
    </comment>
    <comment ref="Z37" authorId="0" shapeId="0" xr:uid="{07E43F58-D28E-4379-920F-0CEAA6ADD37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  <comment ref="AA37" authorId="0" shapeId="0" xr:uid="{5D912779-CE48-4E1D-9B70-773BB63A6D2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  <comment ref="AB37" authorId="0" shapeId="0" xr:uid="{93E7C728-F9FA-402A-BC07-12925B44AA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コモンチャージ：932.39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M6" authorId="0" shapeId="0" xr:uid="{D2F61CAB-61A2-4181-92D7-F002F614860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UNIT #1: $13,000.00/month (occupied till 06/30/2025)
(Jan. 17 closing) 15 days credit to buyer (=$13,000.00/31*15 days): 6,290.32
Rent Adjustment UNIT #2: $10,000.00/month (occupied till 04/30/2025)
(Jan. 17 closing) 15 days credit to buyer (=$10,000.00/31*15 days): 4,838.71
Rent Adjustment UNIT #3: $10,000.00/month (occupied till 05/31/2025)
(Jan. 17 closing) 15 days credit to buyer (=$10,000.00/31*15 days): 4,838.71</t>
        </r>
      </text>
    </comment>
    <comment ref="N6" authorId="0" shapeId="0" xr:uid="{24B66F23-328F-42C8-A50B-2958E86139E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倉又 淳一郎:
</t>
        </r>
        <r>
          <rPr>
            <sz val="9"/>
            <color indexed="81"/>
            <rFont val="MS P ゴシック"/>
            <family val="3"/>
            <charset val="128"/>
          </rPr>
          <t>RM#1：13,000.00
RM#2：10,000.00
RM#3：10,000.00</t>
        </r>
      </text>
    </comment>
    <comment ref="O6" authorId="0" shapeId="0" xr:uid="{310FF966-2876-492B-B5AF-18EE6D6AAA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RM#2：10,000.00
RM#3：10,000.00</t>
        </r>
      </text>
    </comment>
    <comment ref="P6" authorId="0" shapeId="0" xr:uid="{571529A8-9D72-439E-8638-9A65A4BC586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RM#1：12,000.00
RM#2：7,000.00
RM#3：7,000.00
利息収入：2.19
※Unapplied cash payment incomeとして#1は4月分レントを3/14にすでに入金
※RM#2.3賃料は2～3月分9,000のところ10,000支払ったため相殺して4月は7,000</t>
        </r>
      </text>
    </comment>
    <comment ref="Q6" authorId="0" shapeId="0" xr:uid="{5B31C461-6A98-47FD-8BC9-20FA69BE3BF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    2.81
</t>
        </r>
      </text>
    </comment>
    <comment ref="R6" authorId="0" shapeId="0" xr:uid="{F67E14B9-AA72-4BC4-9CB4-ACBF2C40EB4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利息：2.63</t>
        </r>
      </text>
    </comment>
    <comment ref="S6" authorId="0" shapeId="0" xr:uid="{5CC03A1F-13D6-4FA0-B37C-6E02C7A0ADC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利息：2.80</t>
        </r>
      </text>
    </comment>
    <comment ref="U6" authorId="0" shapeId="0" xr:uid="{09897076-C9AC-4898-8FBF-AB8AE35D16B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利息：2.64</t>
        </r>
      </text>
    </comment>
    <comment ref="V6" authorId="0" shapeId="0" xr:uid="{B6673D84-48A4-4480-A259-3117D200DD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利息：2.63</t>
        </r>
      </text>
    </comment>
    <comment ref="W6" authorId="0" shapeId="0" xr:uid="{C5C1279D-74BB-413B-8E36-E56D9682954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利息：2.80</t>
        </r>
      </text>
    </comment>
    <comment ref="X6" authorId="0" shapeId="0" xr:uid="{AFD19740-43A0-4AA6-8DA5-511528553DC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利息：2.72</t>
        </r>
      </text>
    </comment>
    <comment ref="Y6" authorId="0" shapeId="0" xr:uid="{5A8E9686-2122-4053-9251-C8106139960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利息：2.37</t>
        </r>
      </text>
    </comment>
    <comment ref="Z6" authorId="0" shapeId="0" xr:uid="{E806B15B-013F-45F2-9346-851E31B511F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利息：2.99</t>
        </r>
      </text>
    </comment>
    <comment ref="AA6" authorId="0" shapeId="0" xr:uid="{4E85AD3A-0460-4FA8-8124-96873DA7B77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利息：2.54
新規テナント料:10,500.00は2月と3月で相殺</t>
        </r>
      </text>
    </comment>
    <comment ref="AB6" authorId="0" shapeId="0" xr:uid="{025B4B40-E97B-4804-BE7C-F16EEDC450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RM#2:10,500.00
RM#3: 9,000.00
利息：2.93
新規テナント料:10,500.00は2月と3月で相殺</t>
        </r>
      </text>
    </comment>
    <comment ref="B7" authorId="0" shapeId="0" xr:uid="{BCDA96CD-4554-4AA8-AB37-23E9513A16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4D8FD4D8-C6F6-4540-8E34-6DFE9E0B3A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M11" authorId="0" shapeId="0" xr:uid="{9C3F383E-E995-4E02-A20E-172F54A6E22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管理費：813.70
</t>
        </r>
      </text>
    </comment>
    <comment ref="N11" authorId="0" shapeId="0" xr:uid="{79D99668-A8AF-4642-B02C-68557D4AD98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管理費：1,550.00
5月収支報告書で「$-100」引かれる
2月の報告書では1,650.00</t>
        </r>
      </text>
    </comment>
    <comment ref="O11" authorId="0" shapeId="0" xr:uid="{998DC512-6AA7-49F8-A964-26B578FDE6B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管理費：1,200.00
※ミニマムチャージ</t>
        </r>
      </text>
    </comment>
    <comment ref="P11" authorId="0" shapeId="0" xr:uid="{B97F77B8-0515-4759-9851-9BB773D1ED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5月分の収支報告書に記載
※1か月遅れて収支報告書に記載</t>
        </r>
      </text>
    </comment>
    <comment ref="Q11" authorId="0" shapeId="0" xr:uid="{03F55E4F-5552-46CB-825A-C68EDC9ECC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5月管理費：1,500.00</t>
        </r>
      </text>
    </comment>
    <comment ref="B12" authorId="0" shapeId="0" xr:uid="{58CD4BF1-0A90-4ACA-863D-6A44D351AF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$2,391.93/ Quarter 
(Jan. 17 closing) 74 days credit to seller (=$2,391.93/90*74 days): $1,966.70
Legal Abstract LLC 
・Policy Premium: $20,982.00
・Mansion Taxes: $132,750.00
・Recording Fees: $200.00
・Other Fees: $1,974.65
Relo Redac, Inc. (Broker Commission) $177,000.00
Relo Redac, Inc. (Reimbursements)
・Appraisal Fee：$3,750.00
・Phase I Environmental Site Assessment Fee：$1,900.00
・Property Condition Assessment Fee：$2,600.00
・Remittance Fee：$34.00
Englander Bernache LLP (Remainder of Legal Fee - DHCR): $782.00
Lease Security Deposit: $33,000.00
Metro Closers LLC (Title Closer Fee): $400.00
D5 Law Office PLLC 
・Remainder of Legal Fee: $10,000.00
・Administrative and Shipping Fees: $100.00
下記、TWが支払っているためクロージングの際に相殺
</t>
        </r>
        <r>
          <rPr>
            <u/>
            <sz val="9"/>
            <color indexed="81"/>
            <rFont val="MS P ゴシック"/>
            <family val="3"/>
            <charset val="128"/>
          </rPr>
          <t xml:space="preserve">
Water Bill Adjustment: $302.72 (Dec. 3 2024-Jan.13 2025)
(Jan. 17 closing): 3 days credit to buyer (=$302.72/42*3 days): -$21.63
Lease Security Deposit: -$33,000.00</t>
        </r>
      </text>
    </comment>
    <comment ref="M12" authorId="0" shapeId="0" xr:uid="{BA5DA8EC-9D04-4DA8-9BCA-26DF634DEE5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50-061 Super/管理人作業代: 394.52
50-075 Fee/振込手数料: 30.00
70-000 Ask Accountant口座開設のためアサズマ立替cash清算: -300.00</t>
        </r>
      </text>
    </comment>
    <comment ref="N12" authorId="0" shapeId="0" xr:uid="{C59E2513-36B7-4282-8E80-37674057361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50-061 Super/管理人作業代: 800.00
50-075 Fee/振込手数料: 0.00
51-065 Maintenance/その他: 608.91
51-300 Utilities/ガス&amp;電気: 192.93
51-318 Cleaning/清掃関連: 669.62
52-450 Insurance/保険: 7,990.19
70-000 Ask Accountant口座開設のためアサズマ立替cash清算: 300.00</t>
        </r>
      </text>
    </comment>
    <comment ref="O12" authorId="0" shapeId="0" xr:uid="{8562231C-E054-4FD1-A71E-3CD13DE4D8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その他：722.79
電気ガス代：313.06
工事関連：8,500.00</t>
        </r>
      </text>
    </comment>
    <comment ref="P12" authorId="0" shapeId="0" xr:uid="{7228F63D-ADBD-4C4D-902D-ECF5241D09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ブロカー代：12,000
管理人作業代：800.00
振込手数料：-0.01
その他：2.79
建物修理：1,300.00
電気ガス代：478.69
水道代：290.11
固定資産税：2,339.45</t>
        </r>
      </text>
    </comment>
    <comment ref="Q12" authorId="0" shapeId="0" xr:uid="{4ABC3E37-F593-47DD-BA20-5801882FEEA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ブロカー代：200.00
管理人作業代：800.00
その他メンテナンス費：28.24
ガス・電気：157.56</t>
        </r>
      </text>
    </comment>
    <comment ref="R12" authorId="0" shapeId="0" xr:uid="{A3DD518E-5058-436A-9DCB-B90D40E90B9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ブロカー代：200.00
管理人作業費：800.00
メンテナンス：1,244.75
リペア：1,080.00
ガス電気代：427.47
上下水道火代：554.99
駆除費用：58.09
清掃関連：157.75
固定資産税1年：10,104.01</t>
        </r>
      </text>
    </comment>
    <comment ref="S12" authorId="0" shapeId="0" xr:uid="{32C7D350-85CC-4C56-9CC8-201A9F80F53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ボイラーメンテナンス：2,721.88
その他メンテナンス：120.08
部屋リペア：523.16
ガス電気※銀行支払相殺分：-22.23</t>
        </r>
      </text>
    </comment>
    <comment ref="U12" authorId="0" shapeId="0" xr:uid="{9B49AAD5-FD93-4E8A-956C-2AE72BB3F2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冷暖房メンテナンス：750.00
その他メンテナンス：484.68
部屋リペア：1,520.65
ガス電気代：76.48</t>
        </r>
      </text>
    </comment>
    <comment ref="V12" authorId="0" shapeId="0" xr:uid="{BE25BB67-E1D9-483B-AF4E-7224605DE17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部屋リペア：674.94
ガス電気代：71.51</t>
        </r>
      </text>
    </comment>
    <comment ref="W12" authorId="0" shapeId="0" xr:uid="{E6216F19-613C-4C9C-A07D-C2A9FD6F29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冷暖房メンテナンス：38.11
その他メンテナンス：230.78
ガス電気代：79.55
避難階段・地下メタルドア設置等：12,289.00
水道設備設置：4,900.00</t>
        </r>
      </text>
    </comment>
    <comment ref="X12" authorId="0" shapeId="0" xr:uid="{A3DEC05E-ECE7-4D22-AA87-3726792535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振込手数料：100.18
その他メンテナンス：154.03
ガス電気代：75.95
</t>
        </r>
      </text>
    </comment>
    <comment ref="Y12" authorId="0" shapeId="0" xr:uid="{49BDBB9B-0FFD-470C-BC8A-CA1F1C80C7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振込手数料：-0.06
その他メンテナンス：558.01
ガス電気代：120.74</t>
        </r>
      </text>
    </comment>
    <comment ref="Z12" authorId="0" shapeId="0" xr:uid="{F3576A97-8DCF-4537-AEB3-9B19511A811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振込手数料：0.50
その他メンテナンス：482.47
水道代：559.75
ガス電気代：117.80
雑費：63.91
工事費：12,289.00</t>
        </r>
      </text>
    </comment>
    <comment ref="AA12" authorId="0" shapeId="0" xr:uid="{7E8323D7-8F01-48B2-9897-3BCAA322E5D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その他メンテナンス：2650.91
保険料：5,934.03
ガス電気代：522.58
雑費：-63.91
</t>
        </r>
      </text>
    </comment>
    <comment ref="AB12" authorId="0" shapeId="0" xr:uid="{7A35B93D-43F6-40B7-9A9C-EC3CCE3B40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その他メンテナンス：345.88
ボイラ：2,449.70
スプリンクラー：100.00
ガス電気代：476.49
ブロカー手数料-：10,700.00
工事関連支払い：9,000.00
</t>
        </r>
      </text>
    </comment>
    <comment ref="M31" authorId="0" shapeId="0" xr:uid="{515B32EB-5E3C-42F3-B9BE-A7094A051B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Rent Adjustment UNIT #1: $13,000.00/month (occupied till 06/30/2025)
(Jan. 17 closing) 15 days credit to buyer (=$13,000.00/31*15 days): 6,290.32
Rent Adjustment UNIT #2: $10,000.00/month (occupied till 04/30/2025)
(Jan. 17 closing) 15 days credit to buyer (=$10,000.00/31*15 days): 4,838.71
Rent Adjustment UNIT #3: $10,000.00/month (occupied till 05/31/2025)
(Jan. 17 closing) 15 days credit to buyer (=$10,000.00/31*15 days): 4,838.71</t>
        </r>
      </text>
    </comment>
    <comment ref="N31" authorId="0" shapeId="0" xr:uid="{C87710B1-E6C2-4184-A3A8-9133D152071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倉又 淳一郎:
</t>
        </r>
        <r>
          <rPr>
            <sz val="9"/>
            <color indexed="81"/>
            <rFont val="MS P ゴシック"/>
            <family val="3"/>
            <charset val="128"/>
          </rPr>
          <t>1001 Lorimer_RM#1  13,000.00
1001 Lorimer_RM#2  10,000.00
1001 Lorimer_RM#3  10,000.00</t>
        </r>
      </text>
    </comment>
    <comment ref="O31" authorId="0" shapeId="0" xr:uid="{EDC3DD74-D0AA-4ADA-97E6-2E41A5AEF0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1001 Lorimer_RM#2 ：10,000.00
1001 Lorimer_RM#3 ：10,000.00</t>
        </r>
      </text>
    </comment>
    <comment ref="P31" authorId="0" shapeId="0" xr:uid="{05CDD029-9D6D-460F-B88E-FDFD538D04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ルーム1：12,000.00
ルーム2：7,000.00
ルーム3：7,000.00
利息収入：2.19
※Unapplied cash payment incomeとして#1は4月分レントを3/14にすでに入金</t>
        </r>
      </text>
    </comment>
    <comment ref="Q31" authorId="0" shapeId="0" xr:uid="{0DBB837B-E0E5-4BD8-A791-CF98CD4936D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    2.81
</t>
        </r>
      </text>
    </comment>
    <comment ref="R31" authorId="0" shapeId="0" xr:uid="{2F8D1D5D-D5A2-4B97-B15C-F69795A6FF9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利息：2.63</t>
        </r>
      </text>
    </comment>
    <comment ref="S31" authorId="0" shapeId="0" xr:uid="{F9E7C049-C251-4065-8209-F7A91E18CF3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利息：2.80</t>
        </r>
      </text>
    </comment>
    <comment ref="U31" authorId="0" shapeId="0" xr:uid="{9BE0C518-8212-4365-9CCE-95AE53DE8C1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利息：2.64</t>
        </r>
      </text>
    </comment>
    <comment ref="V31" authorId="0" shapeId="0" xr:uid="{6656824E-8C6F-4219-8F59-751918385C9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利息：2.63</t>
        </r>
      </text>
    </comment>
    <comment ref="W31" authorId="0" shapeId="0" xr:uid="{4328E34A-13A4-44D1-9F7D-B71C3E36F34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利息：2.80</t>
        </r>
      </text>
    </comment>
    <comment ref="X31" authorId="0" shapeId="0" xr:uid="{99835AB7-CFC6-44E1-B677-7E093EE1978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利息：2.72</t>
        </r>
      </text>
    </comment>
    <comment ref="Y31" authorId="0" shapeId="0" xr:uid="{4536B58B-EEB1-45AE-9EAD-7EB796C9AC9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利息：2.37</t>
        </r>
      </text>
    </comment>
    <comment ref="Z31" authorId="0" shapeId="0" xr:uid="{C35A103E-86DA-4A32-8B95-A5F58D39ACD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利息：2.99</t>
        </r>
      </text>
    </comment>
    <comment ref="AA31" authorId="0" shapeId="0" xr:uid="{5AEE1ED1-F230-4A6F-8C37-1AC522CDC28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 9,000.00
RM#3: 9,000.00
利息：2.54
</t>
        </r>
      </text>
    </comment>
    <comment ref="AB31" authorId="0" shapeId="0" xr:uid="{AA09270D-CFD4-4E5B-A155-A667711CAF2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RM#1:12,000.00
RM#2:10,500.00
RM#3: 9,000.00
利息：2.93
</t>
        </r>
      </text>
    </comment>
    <comment ref="B32" authorId="0" shapeId="0" xr:uid="{DBC8A0D4-E884-491B-A1DB-D1681505210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D171A3B7-72A6-4232-BB9A-C9EB23DF85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M36" authorId="0" shapeId="0" xr:uid="{D5DC31A2-A3D1-448D-93FF-360178617C7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管理費：813.70
</t>
        </r>
      </text>
    </comment>
    <comment ref="N36" authorId="0" shapeId="0" xr:uid="{787F87FB-FE75-4926-8A29-A6114585EF1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管理費：1,550.00
5月収支報告書で「$-100」引かれる
</t>
        </r>
      </text>
    </comment>
    <comment ref="O36" authorId="0" shapeId="0" xr:uid="{61FBF6C3-33E5-46A8-B2EF-309E7B9150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管理費：1,200.00
※ミニマムチャージ</t>
        </r>
      </text>
    </comment>
    <comment ref="P36" authorId="0" shapeId="0" xr:uid="{78594DD8-FBDD-4E07-B1F8-216EFB9835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5月分の収支報告書に記載
※1か月遅れて収支報告書に記載</t>
        </r>
      </text>
    </comment>
    <comment ref="Q36" authorId="0" shapeId="0" xr:uid="{E66A60B0-4733-4309-9136-8246AADA776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5月管理費：1,500.00</t>
        </r>
      </text>
    </comment>
    <comment ref="B37" authorId="0" shapeId="0" xr:uid="{9477D6A5-8F59-473B-8C1D-87F37845F42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 : $2,391.93/ Quarter 
(Jan. 17 closing) 74 days credit to seller (=$2,391.93/90*74 days): $1,966.70
Legal Abstract LLC 
・Policy Premium: $20,982.00
・Mansion Taxes: $132,750.00
・Recording Fees: $200.00
・Other Fees: $1,974.65
Relo Redac, Inc. (Broker Commission) $177,000.00
Relo Redac, Inc. (Reimbursements)
・Appraisal Fee：$3,750.00
・Phase I Environmental Site Assessment Fee：$1,900.00
・Property Condition Assessment Fee：$2,600.00
・Remittance Fee：$34.00
Englander Bernache LLP (Remainder of Legal Fee - DHCR): $782.00
Lease Security Deposit: $33,000.00
Metro Closers LLC (Title Closer Fee): $400.00
D5 Law Office PLLC 
・Remainder of Legal Fee: $10,000.00
・Administrative and Shipping Fees: $100.00
下記、TWが支払っているためクロージングの際に相殺
</t>
        </r>
        <r>
          <rPr>
            <u/>
            <sz val="9"/>
            <color indexed="81"/>
            <rFont val="MS P ゴシック"/>
            <family val="3"/>
            <charset val="128"/>
          </rPr>
          <t xml:space="preserve">
Water Bill Adjustment: $302.72 (Dec. 3 2024-Jan.13 2025)
(Jan. 17 closing): 3 days credit to buyer (=$302.72/42*3 days): -$21.63
Lease Security Deposit: -$33,000.00</t>
        </r>
      </text>
    </comment>
    <comment ref="M37" authorId="0" shapeId="0" xr:uid="{E86918F2-AB7D-4560-85B2-E7684A11D8C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50-061 Super/管理人作業代: 394.52
50-075 Fee/振込手数料: 30.00
70-000 Ask Accountant: -300.00</t>
        </r>
      </text>
    </comment>
    <comment ref="N37" authorId="0" shapeId="0" xr:uid="{E72FA47F-0FB1-45B3-B5D8-1AFC4B277F2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50-061 Super/管理人作業代: 800.00
50-075 Fee/振込手数料: 0.00
51-065 Maintenance/その他: 608.91
51-300 Utilities/ガス&amp;電気: 518.93
51-318 Cleaning/清掃関連: 669.62
52-450 Insurance/保険: 7,990.19
70-000 Ask Accountant口座開設のためアサズマ立替cash清算: 300.00</t>
        </r>
      </text>
    </comment>
    <comment ref="O37" authorId="0" shapeId="0" xr:uid="{8B2359A2-143B-4EA8-AEA5-1A8F7D1978B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管理人作業代：800.00
その他：722.79
電気ガス代：313.06
工事関連：8,500.00</t>
        </r>
      </text>
    </comment>
    <comment ref="P37" authorId="0" shapeId="0" xr:uid="{5AD267EF-5C6D-4112-8F8F-E36A59B5049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ブロカー代：12,000
管理人作業代：800.00
振込手数料：-0.01
その他：2.79
建物修理：1,300.00
電気ガス代：478.69
水道代：290.11
固定資産税：779.81</t>
        </r>
      </text>
    </comment>
    <comment ref="Q37" authorId="0" shapeId="0" xr:uid="{9F2BF927-AE19-4F91-AAD2-D04524BE48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固定資産税：779.82
ブロカー代：200.00
管理人作業代：800.00
その他メンテナンス費：28.24
ガス・電気：157.56</t>
        </r>
      </text>
    </comment>
    <comment ref="R37" authorId="0" shapeId="0" xr:uid="{307BD12F-F066-42B7-A242-01273483565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固定資産税：779.82
ブロカー代：200.00
管理人作業費：800.00
メンテナンス：1,244.75
リペア：1,080.00
ガス電気代：427.47
上下水道火代：554.99
駆除費用：58.09
清掃関連：157.75
固定資産税1/12：842.01</t>
        </r>
      </text>
    </comment>
    <comment ref="S37" authorId="0" shapeId="0" xr:uid="{80600D39-C67B-4049-82BB-4CDD557866C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ボイラーメンテナンス：2,721.88
その他メンテナンス：120.08
部屋リペア：523.16
ガス電気※銀行支払相殺分：-22.23</t>
        </r>
      </text>
    </comment>
    <comment ref="U37" authorId="0" shapeId="0" xr:uid="{AEC4C04B-359B-48A3-8F1E-646995FA707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冷暖房メンテナンス：750.00
その他メンテナンス：484.68
部屋リペア：1,520.65
ガス電気代：76.48</t>
        </r>
      </text>
    </comment>
    <comment ref="V37" authorId="0" shapeId="0" xr:uid="{814A83E4-4CB9-4BCC-A57E-5AA53A0FC15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部屋リペア：674.94
ガス電気代：71.51</t>
        </r>
      </text>
    </comment>
    <comment ref="W37" authorId="0" shapeId="0" xr:uid="{FF1E9E82-7B2A-4A0B-8C71-3809F9B812B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冷暖房メンテナンス：38.11
その他メンテナンス：230.78
ガス電気代：79.55
避難階段・地下メタルドア設置等：12,289.00
水道設備設置：4,900.00</t>
        </r>
      </text>
    </comment>
    <comment ref="X37" authorId="0" shapeId="0" xr:uid="{23658E47-6A26-4A17-AE06-A371D148767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振込手数料：100.18
その他メンテナンス：154.03
ガス電気代：75.95</t>
        </r>
      </text>
    </comment>
    <comment ref="Y37" authorId="0" shapeId="0" xr:uid="{8DB8829B-CA0A-4E77-AF97-0A3CD824782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振込手数料：-0.06
その他メンテナンス：558.01
ガス電気代：120.74</t>
        </r>
      </text>
    </comment>
    <comment ref="Z37" authorId="0" shapeId="0" xr:uid="{6351939B-6EE9-4571-B730-8CA3CCA400B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振込手数料：0.50
その他メンテナンス：482.47
水道代：559.75
ガス電気代：117.80
雑費：63.91
工事費：12,289.00</t>
        </r>
      </text>
    </comment>
    <comment ref="AA37" authorId="0" shapeId="0" xr:uid="{4496DEE1-F91B-4459-A1C4-755C0D766D1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
管理人作業代：800.00
その他メンテナンス：2650.91
保険料：5,934.03
ガス電気代：522.58
雑費：-63.91</t>
        </r>
      </text>
    </comment>
    <comment ref="AB37" authorId="0" shapeId="0" xr:uid="{8390C67E-8AFF-4D61-91E2-B86A91300AA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</t>
        </r>
      </text>
    </comment>
    <comment ref="AC37" authorId="0" shapeId="0" xr:uid="{E16E2B92-DD40-4811-86AF-E5016ED231A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</t>
        </r>
      </text>
    </comment>
    <comment ref="AD37" authorId="0" shapeId="0" xr:uid="{89AF78E0-2BBB-4D4E-AA8C-7B7CE0ED2DD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固定資産税1/12：842.00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倉又 淳一郎</author>
  </authors>
  <commentList>
    <comment ref="Q6" authorId="0" shapeId="0" xr:uid="{0266CDBE-7FC0-4206-97C4-D44B2ACEC31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 W. 102 St.家賃調整Occupied 8 Units Total: $12,852.00
250 W. 102 St.家賃調整Occupied 9 Units Total: $13,297.74
May 15 closing (31*17days)</t>
        </r>
      </text>
    </comment>
    <comment ref="R6" authorId="0" shapeId="0" xr:uid="{A23FCC6B-5BDF-4FE0-9114-E0AF10A1719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248家賃：24,730.72
250家賃：24,584.67
(250) 4B 6月レント余剰分：270.00
受取利息：3.49</t>
        </r>
      </text>
    </comment>
    <comment ref="S6" authorId="0" shapeId="0" xr:uid="{DB7D990B-5CF5-4DB8-AED9-9199E6D6A86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248家賃：28,749.87
250家賃：24,584.67
キャッシュインカム：4,352.91
受取利息：6.62</t>
        </r>
      </text>
    </comment>
    <comment ref="U6" authorId="0" shapeId="0" xr:uid="{99AFB566-A2DB-437C-A724-7BBEFE8CB58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248家賃：26,594.29
250家賃：28,234.67
キャッシュインカム：-4,352.91
受取利息：4.69</t>
        </r>
      </text>
    </comment>
    <comment ref="V6" authorId="0" shapeId="0" xr:uid="{DC84E352-F6DD-4222-8BAD-6CE3B3AFC3C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248家賃：28,005.73
250家賃：20,798.36
受取利息：4.32</t>
        </r>
      </text>
    </comment>
    <comment ref="W6" authorId="0" shapeId="0" xr:uid="{37A3B139-AF58-4C04-AA58-750A47BFC98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248家賃：30,129.54
250家賃：29,168.36
受取利息：4.77
キャッシュインカム：1,930.00</t>
        </r>
      </text>
    </comment>
    <comment ref="X6" authorId="0" shapeId="0" xr:uid="{FB03FB57-B693-453E-8048-BB58744A5A9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248家賃：34,805.72
250家賃：29,168.36
受取利息：4.79
キャッシュインカム：-1,100.03</t>
        </r>
      </text>
    </comment>
    <comment ref="Y6" authorId="0" shapeId="0" xr:uid="{E69E414D-1002-47FB-8F9B-26A73085186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248家賃：27,905.72
250家賃：29,267.73
受取利息：4.17
キャッシュインカム：-1,099.97</t>
        </r>
      </text>
    </comment>
    <comment ref="Z6" authorId="0" shapeId="0" xr:uid="{B54AE509-6C60-4D6E-BF83-2E23DF99A2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248家賃：27,086.57
250家賃：29,346.67
受取利息：5.27
キャッシュインカム：3,200.00</t>
        </r>
      </text>
    </comment>
    <comment ref="AA6" authorId="0" shapeId="0" xr:uid="{567742B5-3141-4866-BDEB-5D910D6177D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248家賃：34,961.55
250家賃：29,346.68
受取利息：4.50
</t>
        </r>
      </text>
    </comment>
    <comment ref="AB6" authorId="0" shapeId="0" xr:uid="{6F99B2E1-D90E-4288-A1D3-35D47B8376E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248家賃：27,142.40
250家賃：29,346.67
受取利息：4.34
キャッシュインカム：-5,400.00</t>
        </r>
      </text>
    </comment>
    <comment ref="B7" authorId="0" shapeId="0" xr:uid="{543DF70E-0D24-4C0F-BFF1-6F4AFDA4C5F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9" authorId="0" shapeId="0" xr:uid="{38CF74BA-F445-4585-8B2B-9F1DDF01103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B9" authorId="0" shapeId="0" xr:uid="{B4A074D8-0CE3-448B-B39A-9918FC6EA95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Q11" authorId="0" shapeId="0" xr:uid="{D28D744C-B3F6-4E3B-936E-EF9279E133B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倉又 淳一郎:
</t>
        </r>
        <r>
          <rPr>
            <sz val="9"/>
            <color indexed="81"/>
            <rFont val="MS P ゴシック"/>
            <family val="3"/>
            <charset val="128"/>
          </rPr>
          <t>管理費5％：1,307.49</t>
        </r>
      </text>
    </comment>
    <comment ref="R11" authorId="0" shapeId="0" xr:uid="{F2AA801C-CBF4-48CF-95B1-55116ED1E9E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6月分管理費：2,479.27</t>
        </r>
      </text>
    </comment>
    <comment ref="S11" authorId="0" shapeId="0" xr:uid="{039625B1-1575-4B8D-B98D-87FF9A61B85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7月分管理費：2,884.37</t>
        </r>
      </text>
    </comment>
    <comment ref="U11" authorId="0" shapeId="0" xr:uid="{F2561A2B-89FC-4388-A754-BD663621BD4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248：1,329.71
250：1,011.59</t>
        </r>
      </text>
    </comment>
    <comment ref="V11" authorId="0" shapeId="0" xr:uid="{3A1E6F1F-7BB7-4808-9097-AF010054F1F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248：1,400.29
250：1,039.92</t>
        </r>
      </text>
    </comment>
    <comment ref="W11" authorId="0" shapeId="0" xr:uid="{D6D236D4-DCD0-42FE-AF09-69D668CFCCE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248：1,506.48
250：1,444.92</t>
        </r>
      </text>
    </comment>
    <comment ref="X11" authorId="0" shapeId="0" xr:uid="{200B374F-26BC-40E4-9C39-40899223D52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248：1,740.29
250：1,348.17</t>
        </r>
      </text>
    </comment>
    <comment ref="Y11" authorId="0" shapeId="0" xr:uid="{ABB164B0-BDBC-4A5C-9950-844A4A3B36E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
250：1,463.39</t>
        </r>
      </text>
    </comment>
    <comment ref="Z11" authorId="0" shapeId="0" xr:uid="{84D45602-F921-49B4-9770-83CE14D91E3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248：1,395.29（12月分管理手数料）
250：1,467.33</t>
        </r>
      </text>
    </comment>
    <comment ref="AA11" authorId="0" shapeId="0" xr:uid="{74646DCF-F342-4019-B848-36246352FF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248：1,514.33（1月分管理手数料）
250：1,467.33</t>
        </r>
      </text>
    </comment>
    <comment ref="AB11" authorId="0" shapeId="0" xr:uid="{4F5CD3D1-5B5D-413E-9AD9-51D74032213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248：1,789.04（1月分管理手数料）
250：1,467.33</t>
        </r>
      </text>
    </comment>
    <comment ref="B12" authorId="0" shapeId="0" xr:uid="{8E9A3804-E416-456B-AF8B-382F80E0CE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
248 W. 102 St. (=$24,397.04/181*47 days): $6,335.14
250 W. 102 St. (=$34,798.70/181*47 days): $9,036.13
250 W. 102 St. Rent Stabilation Fee Adjustment 
Year 2025: $100.00 (=$100.00/365*231 days): $63.29
250 W. 102 St, Inspction Fee Adjustment: $93.08:07/01/2024-06/30/2025
 (=$93.08/365*47 days): $11.99
248 W. 102 St. Oil Suel Credit : $434.90
Legal Abstract LLC（Title Bill）(タイトル会社への支払い）
・Policy Premium: $30,561.00
・Recording Fees: $325.00
・Other Fees: $1,740.25
New York Zone Property Inc.（248 W. 102 St.Tenant Deposit): $23,756.57
New York Zone Property Inc.（250 W. 102 St.Tenant Deposit): $25,021.35
Englander Bernache LLP (DHCR Legal Fee): $1,170.00
New York Zone Property, Inc. (Broker Commission): $180,000.00
Lisa Stabile (Title Closer Fee): $400.00
D5 Law Office PLLC （Remainder of Legal Fee and Expenses）
Remainder of Legal Fee: $35,000.00
Shipping and Administrative Fee: $100.00
下記、TWが支払っているためクロージングの際に相殺
</t>
        </r>
        <r>
          <rPr>
            <u/>
            <sz val="9"/>
            <color indexed="81"/>
            <rFont val="MS P ゴシック"/>
            <family val="3"/>
            <charset val="128"/>
          </rPr>
          <t>Security Deposit
248 W. 102 St.: $23,756.57
250 W. 102 St.: $25,021.35
Water Bill Adjustment
248 W. 102 St. (=$693.73/87*13 days): $103.66
250 W. 102 St. (=$1,109.97/36*6 days): $185.00
※NYC Water Bill Reading 
Invoiceの日数計算は１日ずれていますが、NYCの慣習に従った計算方法となります。
250 W. 102 St, Frontage Water Bill Adjustment (=$1,109.97/36*7 days): $7.61</t>
        </r>
      </text>
    </comment>
    <comment ref="Q12" authorId="0" shapeId="0" xr:uid="{0BBDB233-D19D-498B-8373-73265B6CBF1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振込手数料：30.00
口座開設費(浅妻さん立替)：-100.00</t>
        </r>
      </text>
    </comment>
    <comment ref="R12" authorId="0" shapeId="0" xr:uid="{6913AA48-2E6F-4B8A-ABE4-09A6C66E8F9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管理人作業代：2,338.36
振込手数料：25.99
オイル：598.59
スプリンクラー：2,800.00
その他：143.48
リペア：3,772.34
電気ガス：861.77
清掃関連：389.26
保険：23,125.93
未分類経費：100.00</t>
        </r>
      </text>
    </comment>
    <comment ref="S12" authorId="0" shapeId="0" xr:uid="{24458562-1ADD-4954-B5C8-B0CE3B43CF6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管理人作業代：1,500.00
振込手数料：-11.00
ボイラー：642.36
オイル：363.83
その他：953.72
部屋リペア：6,569.23
ガス電気：6,661.88
駆除費用：10.82
清掃関連：122.92
固定資産税1年：119,513.83</t>
        </r>
      </text>
    </comment>
    <comment ref="U12" authorId="0" shapeId="0" xr:uid="{44F5402D-2EE4-4ACA-B996-0BF8B8AE615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修繕維持管理：7,759.20
ボイラースプリンクラーメンテ：2,250.00
電気ガス：127.69
管理人フィー：750.00
ブロカー手数料：200.00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合計：11,086.89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修繕維持管理：7,096.29
ボイラースプリンクラーメンテ：750.00
水道：726.14
電気ガス：641.34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合計：9,963.77</t>
        </r>
      </text>
    </comment>
    <comment ref="V12" authorId="0" shapeId="0" xr:uid="{294260D2-F04A-4AA9-83DD-86379EBDF39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修繕維持管理：1,578.71
ボイラースプリンクラーメンテ：2,010.93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合計：4,339.64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修繕維持管理：3,538.92
ボイラースプリンクラーメンテ：192.71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合計：4,481.63
振込手数料：-0.01</t>
        </r>
      </text>
    </comment>
    <comment ref="W12" authorId="0" shapeId="0" xr:uid="{BCF1392F-1C86-4074-8755-C82D1012C8D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修繕維持管理：1,802.73
ボイラースプリンクラーメンテ：1,932.54
オイル：736.21
ガス電気代：238.05
管理人フィー：750.00
仲介手数料：6,600.00
</t>
        </r>
        <r>
          <rPr>
            <b/>
            <sz val="9"/>
            <color indexed="81"/>
            <rFont val="MS P ゴシック"/>
            <family val="3"/>
            <charset val="128"/>
          </rPr>
          <t>合計：12,059.53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修繕維持管理：2,395.53
ボイラースプリンクラーメンテ：1,088.75
ガス電気代：964.41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合計：5,198.69</t>
        </r>
      </text>
    </comment>
    <comment ref="X12" authorId="0" shapeId="0" xr:uid="{B91EA144-FD9F-402C-A428-19B003A7D70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修繕維持管理：1,589.55
オイル：765.80
ガス電気代：220.94
管理人フィー：750.00
仲介手数料：200.00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合計：3,526.29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修繕維持管理：7,765.22
ボイラースプリンクラーメンテ：30.60
ガス電気代：746.65
上下水道代：3,360.51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合計：12,652.98</t>
        </r>
      </text>
    </comment>
    <comment ref="Y12" authorId="0" shapeId="0" xr:uid="{29B7B93D-D302-44DA-A14D-F924745FBEC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修繕維持管理：450.62
ボイラースプリンクラーメンテ：2,667.44
オイル：1,701.55
上下水道：551.19
ガス電気代：132.13
管理人フィー：750.00
仲介手数料：8,850.00
</t>
        </r>
        <r>
          <rPr>
            <b/>
            <sz val="9"/>
            <color indexed="81"/>
            <rFont val="MS P ゴシック"/>
            <family val="3"/>
            <charset val="128"/>
          </rPr>
          <t>合計：15,102.93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修繕維持管理：2,209.55
ガス電気代：1,363.16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合計：4,322.71
振込手数料：100.96
部屋リペア：221.85</t>
        </r>
      </text>
    </comment>
    <comment ref="Z12" authorId="0" shapeId="0" xr:uid="{DEA1555B-BB06-44D1-AD91-120C8B70469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維持管理：3,337.69
オイル：2,459.26
ガス電気代：166.01
管理人フィー：750.00
その他経費：2,010.48
レント更新料：200.00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合計：8,923.44</t>
        </r>
        <r>
          <rPr>
            <sz val="9"/>
            <color indexed="81"/>
            <rFont val="MS P ゴシック"/>
            <family val="3"/>
            <charset val="128"/>
          </rPr>
          <t xml:space="preserve">
250
維持管理：3,801.23
ガス電気代：2,051.91
管理人フィー：750.00
レント更新料：200.00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合計：6,803.14
振込手数料：0.50
雑費：16.64</t>
        </r>
      </text>
    </comment>
    <comment ref="AA12" authorId="0" shapeId="0" xr:uid="{3FDAC73A-2C39-4A84-AE5E-9E50FF5349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維持管理：1,717.63
ボイラー＆スプリンクラー：30.60
オイル：1,114.11
ガス電気代：140.00
管理人フィー：750.00
その他経費：13.90
</t>
        </r>
        <r>
          <rPr>
            <b/>
            <sz val="9"/>
            <color indexed="81"/>
            <rFont val="MS P ゴシック"/>
            <family val="3"/>
            <charset val="128"/>
          </rPr>
          <t>合計：3,766.24</t>
        </r>
        <r>
          <rPr>
            <sz val="9"/>
            <color indexed="81"/>
            <rFont val="MS P ゴシック"/>
            <family val="3"/>
            <charset val="128"/>
          </rPr>
          <t xml:space="preserve">
250
維持管理：3,249.06
上下水道：2,893.03
ガス電気代：2,054.29
管理人フィー：750.00
レント更新料：200.00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合計：9,146.38
振込手数料：0.05
雑費：-16.64</t>
        </r>
      </text>
    </comment>
    <comment ref="AB12" authorId="0" shapeId="0" xr:uid="{4483BAB2-707F-422A-A792-32727C119B4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
維持管理：636.43
ボイラー＆スプリンクラー：1,500.00
オイル：4,023.09
上下水道：640.90
ガス電気代：151.22
管理人フィー：750.000
</t>
        </r>
        <r>
          <rPr>
            <b/>
            <sz val="9"/>
            <color indexed="81"/>
            <rFont val="MS P ゴシック"/>
            <family val="3"/>
            <charset val="128"/>
          </rPr>
          <t>合計：7,701.64</t>
        </r>
        <r>
          <rPr>
            <sz val="9"/>
            <color indexed="81"/>
            <rFont val="MS P ゴシック"/>
            <family val="3"/>
            <charset val="128"/>
          </rPr>
          <t xml:space="preserve">
250
維持管理：210.00
ガス電気代：1,910.94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合計：2,870.94
</t>
        </r>
      </text>
    </comment>
    <comment ref="Q31" authorId="0" shapeId="0" xr:uid="{F87C31EE-FC9A-4B4B-AF1C-D96E40B742C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 W. 102 St.家賃調整Occupied 8 Units Total: $12,852.00
250 W. 102 St.家賃調整Occupied 9 Units Total: $13,297.74
May 15 closing (31*17days)</t>
        </r>
      </text>
    </comment>
    <comment ref="R31" authorId="0" shapeId="0" xr:uid="{03A17568-1343-4C84-B590-DFBFC0CB244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248家賃：24,730.72
250家賃：24,584.67
(250) 4B 6月レント余剰分：270.00
受取利息：3.49</t>
        </r>
      </text>
    </comment>
    <comment ref="S31" authorId="0" shapeId="0" xr:uid="{0C753774-5CF1-4D15-A72C-7D2C6BD450E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248家賃：28,749.87
250家賃：24,584.67
キャッシュインカム：4,352.91
受取利息：6.62</t>
        </r>
      </text>
    </comment>
    <comment ref="U31" authorId="0" shapeId="0" xr:uid="{B29D2722-DEFC-40CF-BE58-5DE358B024A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248家賃：26,594.29
250家賃：28,234.67
キャッシュインカム：-4,352.91
受取利息：4.69</t>
        </r>
      </text>
    </comment>
    <comment ref="V31" authorId="0" shapeId="0" xr:uid="{5944C9F7-E4B1-4014-8C4B-4819F53BEB2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248家賃：28,005.73
250家賃：20,798.36
受取利息：4.32</t>
        </r>
      </text>
    </comment>
    <comment ref="W31" authorId="0" shapeId="0" xr:uid="{04318F24-778F-4326-9775-BFC6037C6B7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248家賃：30,129.54
250家賃：29,168.36
受取利息：4.77
キャッシュインカム：1,930.00</t>
        </r>
      </text>
    </comment>
    <comment ref="X31" authorId="0" shapeId="0" xr:uid="{BDA22322-3A96-4A51-A51A-B8A550C92863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248家賃：34,805.72
250家賃：29,168.36
受取利息：4.79
キャッシュインカム：-1,100.03</t>
        </r>
      </text>
    </comment>
    <comment ref="Y31" authorId="0" shapeId="0" xr:uid="{398C1FDE-DA01-4A78-897B-772E2451C1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248家賃：27,905.72
250家賃：29,267.73
受取利息：4.17
キャッシュインカム：-1,099.97</t>
        </r>
      </text>
    </comment>
    <comment ref="Z31" authorId="0" shapeId="0" xr:uid="{94E481AA-56E0-4DAD-B3DC-95158166EA8F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248家賃：27,086.57
250家賃：29,346.67
受取利息：5.27
キャッシュインカム：3,200.00</t>
        </r>
      </text>
    </comment>
    <comment ref="AA31" authorId="0" shapeId="0" xr:uid="{1C62815F-E239-4D19-BBF6-54D826D3336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248家賃：34,961.55
250家賃：29,346.68
受取利息：4.50
</t>
        </r>
      </text>
    </comment>
    <comment ref="AB31" authorId="0" shapeId="0" xr:uid="{E340F7FD-6B18-4E70-89AE-FBC5625B2E8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248家賃：27,142.40
250家賃：29,346.67
受取利息：4.34
キャッシュインカム：-5,400.00</t>
        </r>
      </text>
    </comment>
    <comment ref="B32" authorId="0" shapeId="0" xr:uid="{7A319F16-086E-44F5-B941-DF325C472FD7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A34" authorId="0" shapeId="0" xr:uid="{FE9DE53C-63CE-414E-B0A4-8D709D8E3C8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建物残存簿価
</t>
        </r>
      </text>
    </comment>
    <comment ref="B34" authorId="0" shapeId="0" xr:uid="{A8580134-9F86-46BA-98B0-74724DA896F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建物取得価格（固定資産台帳・償却）</t>
        </r>
      </text>
    </comment>
    <comment ref="Q36" authorId="0" shapeId="0" xr:uid="{CF2AC1BE-994A-4FF8-A8A0-258F26C0BC4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倉又 淳一郎:
</t>
        </r>
        <r>
          <rPr>
            <sz val="9"/>
            <color indexed="81"/>
            <rFont val="MS P ゴシック"/>
            <family val="3"/>
            <charset val="128"/>
          </rPr>
          <t>管理費5％：1,307.49</t>
        </r>
      </text>
    </comment>
    <comment ref="R36" authorId="0" shapeId="0" xr:uid="{1A0ADD3A-C617-4C7B-9175-5038A18302E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6月分管理費：2,479.27</t>
        </r>
      </text>
    </comment>
    <comment ref="S36" authorId="0" shapeId="0" xr:uid="{5E5042D3-8F5F-4310-A8B6-733825AFBBF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7月分管理費：2,884.37</t>
        </r>
      </text>
    </comment>
    <comment ref="U36" authorId="0" shapeId="0" xr:uid="{C6F4F634-2D28-4B1F-8218-468B5B010926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248：1,329.71
250：1,011.59</t>
        </r>
      </text>
    </comment>
    <comment ref="V36" authorId="0" shapeId="0" xr:uid="{6FB22457-5D72-4EC1-9BE9-EBDD81A3BD5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248：1,400.29
250：1,039.92</t>
        </r>
      </text>
    </comment>
    <comment ref="W36" authorId="0" shapeId="0" xr:uid="{FFBFD544-CD5E-4FEA-A5E2-67D9CFBD9EA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248：1,506.48
250：1,444.92</t>
        </r>
      </text>
    </comment>
    <comment ref="X36" authorId="0" shapeId="0" xr:uid="{E27E4B37-8ED2-46D8-B68A-645D5FBE7FA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248：1,740.29
250：1,348.17</t>
        </r>
      </text>
    </comment>
    <comment ref="Y36" authorId="0" shapeId="0" xr:uid="{646D9470-6A3D-446E-BCE9-07C833A83BC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
250：1,463.39</t>
        </r>
      </text>
    </comment>
    <comment ref="Z36" authorId="0" shapeId="0" xr:uid="{4A75BD26-52B9-41C6-A339-662E1B07353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248：1,395.29（12月分管理手数料）
250：1,467.33</t>
        </r>
      </text>
    </comment>
    <comment ref="AA36" authorId="0" shapeId="0" xr:uid="{6C17308C-02F7-4184-9B73-6A0DE724390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248：1,514.33（1月分管理手数料）
250：1,467.33</t>
        </r>
      </text>
    </comment>
    <comment ref="AB36" authorId="0" shapeId="0" xr:uid="{A5B88B3A-04BF-4037-AD7E-9B5A7D52AA48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248：1,789.04（1月分管理手数料）
250：1,467.33</t>
        </r>
      </text>
    </comment>
    <comment ref="B37" authorId="0" shapeId="0" xr:uid="{16DF8FE8-150C-4A4A-8AFA-4DFBAC4D5C7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Real Estate Tax Adjustment
248 W. 102 St. (=$24,397.04/181*47 days): $6,335.14
250 W. 102 St. (=$34,798.70/181*47 days): $9,036.13
250 W. 102 St. Rent Stabilation Fee Adjustment 
Year 2025: $100.00 (=$100.00/365*231 days): $63.29
250 W. 102 St, Inspction Fee Adjustment: $93.08:07/01/2024-06/30/2025
 (=$93.08/365*47 days): $11.99
248 W. 102 St. Oil Suel Credit : $434.90
Legal Abstract LLC（Title Bill）(タイトル会社への支払い）
・Policy Premium: $30,561.00
・Recording Fees: $325.00
・Other Fees: $1,740.25
New York Zone Property Inc.（248 W. 102 St.Tenant Deposit): $23,756.57
New York Zone Property Inc.（250 W. 102 St.Tenant Deposit): $25,021.35
Englander Bernache LLP (DHCR Legal Fee): $1,170.00
New York Zone Property, Inc. (Broker Commission): $180,000.00
Lisa Stabile (Title Closer Fee): $400.00
D5 Law Office PLLC （Remainder of Legal Fee and Expenses）
Remainder of Legal Fee: $35,000.00
Shipping and Administrative Fee: $100.00
下記、TWが支払っているためクロージングの際に相殺
</t>
        </r>
        <r>
          <rPr>
            <u/>
            <sz val="9"/>
            <color indexed="81"/>
            <rFont val="MS P ゴシック"/>
            <family val="3"/>
            <charset val="128"/>
          </rPr>
          <t>Security Deposit
248 W. 102 St.: $23,756.57
250 W. 102 St.: $25,021.35
Water Bill Adjustment
248 W. 102 St. (=$693.73/87*13 days): $103.66
250 W. 102 St. (=$1,109.97/36*6 days): $185.00
※NYC Water Bill Reading 
Invoiceの日数計算は１日ずれていますが、NYCの慣習に従った計算方法となります。
250 W. 102 St, Frontage Water Bill Adjustment (=$1,109.97/36*7 days): $7.61</t>
        </r>
      </text>
    </comment>
    <comment ref="Q37" authorId="0" shapeId="0" xr:uid="{FD17E206-D558-41D5-8311-BD1C2601C941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振込手数料：30.00
口座開設費(浅妻さん立替)：-100.00</t>
        </r>
      </text>
    </comment>
    <comment ref="R37" authorId="0" shapeId="0" xr:uid="{222B291B-7BB0-44E4-A30D-F141F6C2A9FC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管理人作業代：2,338.36
振込手数料：25.99
オイル：598.59
スプリンクラー：2,800.00
その他：143.48
リペア：3,772.34
電気ガス：861.77
清掃関連：389.26
保険：23,125.93
未分類経費：100.00</t>
        </r>
      </text>
    </comment>
    <comment ref="S37" authorId="0" shapeId="0" xr:uid="{9F8F7E33-04B9-4E1A-8336-1AA29AB0D0D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管理人作業代：1,500.00
振込手数料：-11.00
ボイラー：642.36
オイル：363.83
その他：953.72
部屋リペア：6,569.23
ガス電気：6,661.88
駆除費用：10.82
清掃関連：122.92
固定資産税1/12：9,959.55</t>
        </r>
      </text>
    </comment>
    <comment ref="U37" authorId="0" shapeId="0" xr:uid="{8F18BE39-5524-40CE-9C80-BB4C22A83159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修繕維持管理：7,759.20
ボイラースプリンクラーメンテ：2,250.00
電気ガス：127.69
管理人フィー：750.00
ブロカー手数料：200.00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合計：11,086.89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修繕維持管理：7,096.29
ボイラースプリンクラーメンテ：750.00
水道：726.14
電気ガス：641.34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合計：9,963.77</t>
        </r>
      </text>
    </comment>
    <comment ref="V37" authorId="0" shapeId="0" xr:uid="{A0F8AEAD-EF8E-4706-8B5A-7CA3C486CEEB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修繕維持管理：1,578.71
ボイラースプリンクラーメンテ：2,010.93
管理人フィー：750.00
合計：4,339.64
250
修繕維持管理：3,538.92
ボイラースプリンクラーメンテ：192.71
管理人フィー：750.00
合計：4,481.63
振込手数料：-0.01</t>
        </r>
      </text>
    </comment>
    <comment ref="W37" authorId="0" shapeId="0" xr:uid="{69166777-2475-4730-9E22-E68EB8574A8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修繕維持管理：1,802.73
ボイラースプリンクラーメンテ：1,932.54
オイル：736.21
ガス電気代：238.05
管理人フィー：750.00
仲介手数料：6,600.00
合計：12,059.53
250
修繕維持管理：2,395.53
ボイラースプリンクラーメンテ：1,088.75
ガス電気代：964.41
管理人フィー：750.00
合計：5,198.69</t>
        </r>
      </text>
    </comment>
    <comment ref="X37" authorId="0" shapeId="0" xr:uid="{C15B8543-F895-4CBA-946B-406B3B40CEF4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修繕維持管理：1,589.55
オイル：765.80
ガス電気代：220.94
管理人フィー：750.00
仲介手数料：200.00
</t>
        </r>
        <r>
          <rPr>
            <b/>
            <sz val="9"/>
            <color indexed="81"/>
            <rFont val="MS P ゴシック"/>
            <family val="3"/>
            <charset val="128"/>
          </rPr>
          <t>合計：3,526.29</t>
        </r>
        <r>
          <rPr>
            <sz val="9"/>
            <color indexed="81"/>
            <rFont val="MS P ゴシック"/>
            <family val="3"/>
            <charset val="128"/>
          </rPr>
          <t xml:space="preserve">
250
修繕維持管理：7,765.22
ボイラースプリンクラーメンテ：30.60
ガス電気代：746.65
上下水道代：3,360.51
管理人フィー：750.00
</t>
        </r>
        <r>
          <rPr>
            <b/>
            <sz val="9"/>
            <color indexed="81"/>
            <rFont val="MS P ゴシック"/>
            <family val="3"/>
            <charset val="128"/>
          </rPr>
          <t>合計：12,652.98</t>
        </r>
      </text>
    </comment>
    <comment ref="Y37" authorId="0" shapeId="0" xr:uid="{364DBF5F-FF39-44A9-AE14-C87C54E21EAA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倉又 淳一郎:
248
修繕維持管理：450.62
ボイラースプリンクラーメンテ：2,667.44
オイル：1,701.55
上下水道：551.19
ガス電気代：132.13
管理人フィー：750.00
仲介手数料：8,850.00
合計：15,102.93
250
修繕維持管理：2,209.55
ガス電気代：1,363.16
管理人フィー：750.00
合計：4,322.71
振込手数料：100.96
部屋リペア：221.85</t>
        </r>
      </text>
    </comment>
    <comment ref="Z37" authorId="0" shapeId="0" xr:uid="{3EE8D2A9-F5C7-4753-9646-5D4715C2D0D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維持管理：3,337.69
オイル：2,459.26
ガス電気代：166.01
管理人フィー：750.00
その他経費：2,010.48
レント更新料：200.00
合計：8,923.44
250
維持管理：3,801.23
ガス電気代：2,051.91
管理人フィー：750.00
レント更新料：200.00
合計：6,803.14
振込手数料：0.50
雑費：16.64</t>
        </r>
      </text>
    </comment>
    <comment ref="AA37" authorId="0" shapeId="0" xr:uid="{D811D0DF-11F4-425A-87A1-73ABDF294B62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
248
維持管理：1,717.63
ボイラー＆スプリンクラー：30.60
オイル：1,114.11
ガス電気代：140.00
管理人フィー：750.00
その他経費：13.90
合計：3,766.24
250
維持管理：3,249.06
上下水道：2,893.03
ガス電気代：2,054.29
管理人フィー：750.00
レント更新料：200.00
合計：9,146.38
振込手数料：0.05
雑費：-16.64</t>
        </r>
      </text>
    </comment>
    <comment ref="AB37" authorId="0" shapeId="0" xr:uid="{A0609240-53EE-425D-9C6B-EAEEC172D165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</t>
        </r>
      </text>
    </comment>
    <comment ref="AC37" authorId="0" shapeId="0" xr:uid="{626BA86F-7384-4C95-A38C-56405BF443CD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</t>
        </r>
      </text>
    </comment>
    <comment ref="AD37" authorId="0" shapeId="0" xr:uid="{312AD3C9-A249-474B-AB71-3F7F9940FD90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</t>
        </r>
      </text>
    </comment>
    <comment ref="AE37" authorId="0" shapeId="0" xr:uid="{CCE2BCAC-98AE-44C5-B0B1-88BD25949D8E}">
      <text>
        <r>
          <rPr>
            <b/>
            <sz val="9"/>
            <color indexed="81"/>
            <rFont val="MS P ゴシック"/>
            <family val="3"/>
            <charset val="128"/>
          </rPr>
          <t>倉又 淳一郎:</t>
        </r>
        <r>
          <rPr>
            <sz val="9"/>
            <color indexed="81"/>
            <rFont val="MS P ゴシック"/>
            <family val="3"/>
            <charset val="128"/>
          </rPr>
          <t xml:space="preserve">
固定資産税1/12：9,959.48</t>
        </r>
      </text>
    </comment>
  </commentList>
</comments>
</file>

<file path=xl/sharedStrings.xml><?xml version="1.0" encoding="utf-8"?>
<sst xmlns="http://schemas.openxmlformats.org/spreadsheetml/2006/main" count="935" uniqueCount="119">
  <si>
    <t>総計</t>
    <rPh sb="0" eb="2">
      <t>ソウケイ</t>
    </rPh>
    <phoneticPr fontId="2"/>
  </si>
  <si>
    <t>取得簿価(円)</t>
    <rPh sb="0" eb="4">
      <t>シュトクボカ</t>
    </rPh>
    <rPh sb="5" eb="6">
      <t>エン</t>
    </rPh>
    <phoneticPr fontId="2"/>
  </si>
  <si>
    <t>取得簿価(ドル)</t>
    <rPh sb="0" eb="4">
      <t>シュトクボカ</t>
    </rPh>
    <phoneticPr fontId="2"/>
  </si>
  <si>
    <t>賃料収入(円)</t>
    <rPh sb="0" eb="4">
      <t>チンリョウシュウニュウ</t>
    </rPh>
    <phoneticPr fontId="2"/>
  </si>
  <si>
    <t>為替レート(ドル円)TTM</t>
    <rPh sb="0" eb="2">
      <t>カワセ</t>
    </rPh>
    <rPh sb="8" eb="9">
      <t>エン</t>
    </rPh>
    <phoneticPr fontId="2"/>
  </si>
  <si>
    <t>※月末TTMベース</t>
    <rPh sb="1" eb="3">
      <t>ゲツマツ</t>
    </rPh>
    <phoneticPr fontId="2"/>
  </si>
  <si>
    <t>賃料収入(ドル)</t>
    <rPh sb="0" eb="4">
      <t>チンリョウシュウニュウ</t>
    </rPh>
    <phoneticPr fontId="2"/>
  </si>
  <si>
    <t>減価償却費(円)</t>
    <rPh sb="0" eb="5">
      <t>ゲンカショウキャクヒ</t>
    </rPh>
    <phoneticPr fontId="2"/>
  </si>
  <si>
    <t>減価償却費(ドル)</t>
    <rPh sb="0" eb="5">
      <t>ゲンカショウキャクヒ</t>
    </rPh>
    <phoneticPr fontId="2"/>
  </si>
  <si>
    <t>残存簿価(円)</t>
    <rPh sb="0" eb="2">
      <t>ザンゾン</t>
    </rPh>
    <rPh sb="2" eb="4">
      <t>ボカ</t>
    </rPh>
    <phoneticPr fontId="2"/>
  </si>
  <si>
    <t>残存簿価(ドル)</t>
    <rPh sb="0" eb="2">
      <t>ザンゾン</t>
    </rPh>
    <rPh sb="2" eb="4">
      <t>ボカ</t>
    </rPh>
    <phoneticPr fontId="2"/>
  </si>
  <si>
    <t>管理費(ドル)</t>
    <rPh sb="0" eb="3">
      <t>カンリヒ</t>
    </rPh>
    <phoneticPr fontId="2"/>
  </si>
  <si>
    <t>諸経費(税金、募集経費等)(ドル)</t>
    <rPh sb="0" eb="3">
      <t>ショケイヒ</t>
    </rPh>
    <rPh sb="4" eb="6">
      <t>ゼイキン</t>
    </rPh>
    <rPh sb="7" eb="11">
      <t>ボシュウケイヒ</t>
    </rPh>
    <rPh sb="11" eb="12">
      <t>トウ</t>
    </rPh>
    <phoneticPr fontId="2"/>
  </si>
  <si>
    <t>ネット賃貸収入利回り(円)</t>
    <rPh sb="3" eb="7">
      <t>チンタイシュウニュウ</t>
    </rPh>
    <rPh sb="7" eb="9">
      <t>リマワ</t>
    </rPh>
    <phoneticPr fontId="2"/>
  </si>
  <si>
    <t>ネット賃貸収入利回り(ドル)</t>
    <rPh sb="3" eb="7">
      <t>チンタイシュウニュウ</t>
    </rPh>
    <rPh sb="7" eb="9">
      <t>リマワ</t>
    </rPh>
    <phoneticPr fontId="2"/>
  </si>
  <si>
    <t>取得時簿価利回り(円)</t>
    <rPh sb="0" eb="2">
      <t>シュトク</t>
    </rPh>
    <rPh sb="2" eb="3">
      <t>ジ</t>
    </rPh>
    <rPh sb="3" eb="5">
      <t>ボカ</t>
    </rPh>
    <rPh sb="5" eb="7">
      <t>リマワ</t>
    </rPh>
    <phoneticPr fontId="2"/>
  </si>
  <si>
    <t>取得時簿価利回り(ドル)</t>
    <rPh sb="0" eb="2">
      <t>シュトク</t>
    </rPh>
    <rPh sb="2" eb="3">
      <t>ジ</t>
    </rPh>
    <rPh sb="3" eb="5">
      <t>ボカ</t>
    </rPh>
    <rPh sb="5" eb="7">
      <t>リマワ</t>
    </rPh>
    <phoneticPr fontId="2"/>
  </si>
  <si>
    <t>残存簿価利回り(円)</t>
    <rPh sb="0" eb="6">
      <t>ザンゾンボカリマワ</t>
    </rPh>
    <phoneticPr fontId="2"/>
  </si>
  <si>
    <t>残存簿価利回り(ドル)</t>
    <rPh sb="0" eb="6">
      <t>ザンゾンボカリマワ</t>
    </rPh>
    <phoneticPr fontId="2"/>
  </si>
  <si>
    <t>CF(円)</t>
    <phoneticPr fontId="2"/>
  </si>
  <si>
    <t>CF(ドル)</t>
    <phoneticPr fontId="2"/>
  </si>
  <si>
    <t>PL(円)</t>
    <phoneticPr fontId="2"/>
  </si>
  <si>
    <t>PL(ドル)</t>
    <phoneticPr fontId="2"/>
  </si>
  <si>
    <t>購入日</t>
    <rPh sb="0" eb="3">
      <t>コウニュウビ</t>
    </rPh>
    <phoneticPr fontId="2"/>
  </si>
  <si>
    <t>下記表は固都税を各月の諸経費に分散して計上した表です</t>
    <rPh sb="0" eb="3">
      <t>カキヒョウ</t>
    </rPh>
    <rPh sb="4" eb="7">
      <t>コトゼイ</t>
    </rPh>
    <rPh sb="8" eb="10">
      <t>カクツキ</t>
    </rPh>
    <rPh sb="11" eb="14">
      <t>ショケイヒ</t>
    </rPh>
    <rPh sb="15" eb="17">
      <t>ブンサン</t>
    </rPh>
    <rPh sb="19" eb="21">
      <t>ケイジョウ</t>
    </rPh>
    <rPh sb="23" eb="24">
      <t>ヒョウ</t>
    </rPh>
    <phoneticPr fontId="2"/>
  </si>
  <si>
    <t>1 Wall Street #831</t>
    <phoneticPr fontId="2"/>
  </si>
  <si>
    <t>管理費</t>
    <rPh sb="0" eb="3">
      <t>カンリヒ</t>
    </rPh>
    <phoneticPr fontId="2"/>
  </si>
  <si>
    <t>コモンチャージ</t>
    <phoneticPr fontId="2"/>
  </si>
  <si>
    <t>固定資産税</t>
    <rPh sb="0" eb="5">
      <t>コテイシサンゼイ</t>
    </rPh>
    <phoneticPr fontId="2"/>
  </si>
  <si>
    <t>修繕・雑費・その他支出</t>
    <rPh sb="0" eb="2">
      <t>シュウゼン</t>
    </rPh>
    <rPh sb="3" eb="5">
      <t>ザッピ</t>
    </rPh>
    <rPh sb="8" eb="9">
      <t>タ</t>
    </rPh>
    <rPh sb="9" eb="11">
      <t>シシュツ</t>
    </rPh>
    <phoneticPr fontId="2"/>
  </si>
  <si>
    <t>合計</t>
    <rPh sb="0" eb="2">
      <t>ゴウケイ</t>
    </rPh>
    <phoneticPr fontId="2"/>
  </si>
  <si>
    <t>更新日</t>
    <rPh sb="0" eb="2">
      <t>コウシン</t>
    </rPh>
    <rPh sb="2" eb="3">
      <t>ビ</t>
    </rPh>
    <phoneticPr fontId="2"/>
  </si>
  <si>
    <t>111 West 56th #34D</t>
    <phoneticPr fontId="2"/>
  </si>
  <si>
    <t>88 Greenwich #1512</t>
    <phoneticPr fontId="2"/>
  </si>
  <si>
    <t>88 Greenwich #3101</t>
    <phoneticPr fontId="2"/>
  </si>
  <si>
    <t>93 Worth Street #206</t>
    <phoneticPr fontId="2"/>
  </si>
  <si>
    <t>159 West 53rd Street #21F</t>
    <phoneticPr fontId="2"/>
  </si>
  <si>
    <t>159 West 53rd Street #21F</t>
  </si>
  <si>
    <t>取得簿価(円)</t>
  </si>
  <si>
    <t>取得簿価(ドル)</t>
  </si>
  <si>
    <t>賃料収入(円)</t>
  </si>
  <si>
    <t>為替レート(ドル円)TTM</t>
  </si>
  <si>
    <t>賃料収入(ドル)</t>
  </si>
  <si>
    <t>減価償却費(円)</t>
  </si>
  <si>
    <t>減価償却費(ドル)</t>
  </si>
  <si>
    <t>残存簿価(ドル)</t>
  </si>
  <si>
    <t>管理費(ドル)</t>
  </si>
  <si>
    <t>諸経費(税金、募集経費等)(ドル)</t>
  </si>
  <si>
    <t>ネット賃貸収入利回り(円)</t>
  </si>
  <si>
    <t>ネット賃貸収入利回り(ドル)</t>
  </si>
  <si>
    <t>取得時簿価利回り(円)</t>
  </si>
  <si>
    <t>取得時簿価利回り(ドル)</t>
  </si>
  <si>
    <t>残存簿価利回り(円)</t>
  </si>
  <si>
    <t>残存簿価利回り(ドル)</t>
  </si>
  <si>
    <t>CF(円)</t>
  </si>
  <si>
    <t>CF(ドル)</t>
  </si>
  <si>
    <t>PL(円)</t>
  </si>
  <si>
    <t>PL(ドル)</t>
  </si>
  <si>
    <t>159 West 53rd Street #35A</t>
    <phoneticPr fontId="2"/>
  </si>
  <si>
    <t>1 Wall Street #1810</t>
    <phoneticPr fontId="2"/>
  </si>
  <si>
    <t>20 West Street Unit 40B(DT Athletic Club)</t>
  </si>
  <si>
    <t>Acquisition Cost (JPY)</t>
  </si>
  <si>
    <t>Acquisition Cost (USD)</t>
  </si>
  <si>
    <t>Rental Income (JPY)</t>
  </si>
  <si>
    <t>Exchange Rate (USD/JPY) TTM</t>
  </si>
  <si>
    <t>Rental Income (USD)</t>
  </si>
  <si>
    <t>Depreciation (JPY)</t>
  </si>
  <si>
    <t>Depreciation (USD)</t>
  </si>
  <si>
    <t>Remaining Book Value (JPY)</t>
  </si>
  <si>
    <t>Remaining Book Value (USD)</t>
  </si>
  <si>
    <t>Management Fee (USD)</t>
  </si>
  <si>
    <t>Management Fee</t>
  </si>
  <si>
    <t>Other Expenses (Tax, Recruitment Costs, etc.) (USD)</t>
  </si>
  <si>
    <t>Common Charge</t>
  </si>
  <si>
    <t>Net Rental Yield (JPY)</t>
  </si>
  <si>
    <t>Property Tax</t>
  </si>
  <si>
    <t>Net Rental Yield (USD)</t>
  </si>
  <si>
    <t>Repairs/Misc/Other Expenses</t>
  </si>
  <si>
    <t>Acquisition Book Value Yield (JPY)</t>
  </si>
  <si>
    <t>Total</t>
  </si>
  <si>
    <t>Acquisition Book Value Yield (USD)</t>
  </si>
  <si>
    <t>Remaining Book Value Yield (JPY)</t>
  </si>
  <si>
    <t>Remaining Book Value Yield (USD)</t>
  </si>
  <si>
    <t>Cash Flow (JPY)</t>
  </si>
  <si>
    <t>Cash Flow (USD)</t>
  </si>
  <si>
    <t>P&amp;L (JPY)</t>
  </si>
  <si>
    <t>P&amp;L (USD)</t>
  </si>
  <si>
    <t>Purchase Date</t>
  </si>
  <si>
    <t>The table below shows property tax distributed across monthly expenses</t>
  </si>
  <si>
    <t>Downtown Athletic Club Building #40B</t>
  </si>
  <si>
    <t>301 West 53rd Street #6H</t>
    <phoneticPr fontId="2"/>
  </si>
  <si>
    <t>20 W 64th St #34C(One Lincoln Plaza)</t>
    <phoneticPr fontId="2"/>
  </si>
  <si>
    <t>235 W 75th St #225(The Astor)</t>
    <phoneticPr fontId="2"/>
  </si>
  <si>
    <t>1 Wall St #731</t>
    <phoneticPr fontId="2"/>
  </si>
  <si>
    <t>416 W 52nd St #400(Nine 52)</t>
    <phoneticPr fontId="2"/>
  </si>
  <si>
    <t>20 W 64th St #30C(One Lincoln Plaza)</t>
    <phoneticPr fontId="2"/>
  </si>
  <si>
    <t>1001 Lorimer St, Brooklyn</t>
    <phoneticPr fontId="2"/>
  </si>
  <si>
    <t>248-250 W 102nd St, NY</t>
    <phoneticPr fontId="2"/>
  </si>
  <si>
    <t>PURCHASER</t>
    <phoneticPr fontId="2"/>
  </si>
  <si>
    <t>SELLER</t>
    <phoneticPr fontId="2"/>
  </si>
  <si>
    <t>維持管理：3,337.69</t>
  </si>
  <si>
    <t>オイル：2,459.26</t>
  </si>
  <si>
    <t>ガス電気代：166.01</t>
  </si>
  <si>
    <t>管理人フィー：750.00</t>
  </si>
  <si>
    <t>その他経費：2,010.48</t>
  </si>
  <si>
    <t>レント更新料：200.00</t>
  </si>
  <si>
    <t>合計：8,923.44</t>
  </si>
  <si>
    <t>維持管理：3,801.23</t>
  </si>
  <si>
    <t>ガス電気代：2,051.91</t>
  </si>
  <si>
    <t>合計：6,803.14</t>
  </si>
  <si>
    <t>振込手数料：0.50</t>
  </si>
  <si>
    <t>雑費：16.64</t>
  </si>
  <si>
    <t>取得時～2025年7月</t>
    <rPh sb="0" eb="3">
      <t>シュトクジ</t>
    </rPh>
    <rPh sb="8" eb="9">
      <t>ネン</t>
    </rPh>
    <rPh sb="10" eb="11">
      <t>ガツ</t>
    </rPh>
    <phoneticPr fontId="2"/>
  </si>
  <si>
    <t>収入</t>
    <rPh sb="0" eb="2">
      <t>シュウニュウ</t>
    </rPh>
    <phoneticPr fontId="2"/>
  </si>
  <si>
    <t>支出</t>
    <rPh sb="0" eb="2">
      <t>シシュツ</t>
    </rPh>
    <phoneticPr fontId="2"/>
  </si>
  <si>
    <t>利益</t>
    <rPh sb="0" eb="2">
      <t>リエキ</t>
    </rPh>
    <phoneticPr fontId="2"/>
  </si>
  <si>
    <t>1 Wall Street #831</t>
  </si>
  <si>
    <t>1 Wall Street #731</t>
    <phoneticPr fontId="2"/>
  </si>
  <si>
    <t>20 West Street Unit 40B(DT Athletic Club)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</si>
</sst>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26" formatCode="\$#,##0.00_);[Red]\(\$#,##0.00\)"/>
    <numFmt numFmtId="176" formatCode="0.0%"/>
    <numFmt numFmtId="177" formatCode="#,##0.0;[Red]\-#,##0.0"/>
    <numFmt numFmtId="178" formatCode="yyyy&quot;年&quot;m&quot;月&quot;;@"/>
    <numFmt numFmtId="179" formatCode="#,##0.00_);[Red]\(#,##0.00\)"/>
    <numFmt numFmtId="180" formatCode="#,##0.00_ ;[Red]\-#,##0.00\ "/>
    <numFmt numFmtId="181" formatCode="#,##0.0000;[Red]\-#,##0.0000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u/>
      <sz val="9"/>
      <color indexed="81"/>
      <name val="MS P ゴシック"/>
      <family val="3"/>
      <charset val="128"/>
    </font>
    <font>
      <u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3">
    <xf numFmtId="0" fontId="0" fillId="0" borderId="0" xfId="0">
      <alignment vertical="center"/>
    </xf>
    <xf numFmtId="38" fontId="0" fillId="0" borderId="0" xfId="1" applyFont="1" applyFill="1">
      <alignment vertical="center"/>
    </xf>
    <xf numFmtId="38" fontId="3" fillId="0" borderId="0" xfId="1" applyFont="1" applyFill="1">
      <alignment vertical="center"/>
    </xf>
    <xf numFmtId="177" fontId="3" fillId="0" borderId="0" xfId="1" applyNumberFormat="1" applyFont="1" applyFill="1">
      <alignment vertical="center"/>
    </xf>
    <xf numFmtId="176" fontId="3" fillId="0" borderId="0" xfId="2" applyNumberFormat="1" applyFont="1" applyFill="1">
      <alignment vertical="center"/>
    </xf>
    <xf numFmtId="178" fontId="0" fillId="0" borderId="0" xfId="0" applyNumberFormat="1">
      <alignment vertical="center"/>
    </xf>
    <xf numFmtId="38" fontId="0" fillId="0" borderId="0" xfId="1" applyFont="1" applyFill="1" applyAlignment="1">
      <alignment vertical="center" shrinkToFit="1"/>
    </xf>
    <xf numFmtId="38" fontId="3" fillId="0" borderId="0" xfId="1" applyFont="1" applyFill="1" applyAlignment="1">
      <alignment vertical="center" shrinkToFit="1"/>
    </xf>
    <xf numFmtId="177" fontId="3" fillId="0" borderId="0" xfId="1" applyNumberFormat="1" applyFont="1" applyFill="1" applyAlignment="1">
      <alignment vertical="center" shrinkToFit="1"/>
    </xf>
    <xf numFmtId="176" fontId="3" fillId="0" borderId="0" xfId="2" applyNumberFormat="1" applyFont="1" applyFill="1" applyAlignment="1">
      <alignment vertical="center" shrinkToFit="1"/>
    </xf>
    <xf numFmtId="178" fontId="0" fillId="0" borderId="0" xfId="0" applyNumberFormat="1" applyAlignment="1">
      <alignment vertical="center" shrinkToFit="1"/>
    </xf>
    <xf numFmtId="3" fontId="0" fillId="0" borderId="0" xfId="2" applyNumberFormat="1" applyFont="1" applyFill="1" applyAlignment="1">
      <alignment vertical="center" shrinkToFit="1"/>
    </xf>
    <xf numFmtId="0" fontId="0" fillId="0" borderId="0" xfId="0" applyAlignment="1">
      <alignment vertical="center" shrinkToFit="1"/>
    </xf>
    <xf numFmtId="40" fontId="0" fillId="0" borderId="0" xfId="1" applyNumberFormat="1" applyFont="1" applyFill="1">
      <alignment vertical="center"/>
    </xf>
    <xf numFmtId="40" fontId="0" fillId="0" borderId="0" xfId="1" applyNumberFormat="1" applyFont="1" applyFill="1" applyAlignment="1">
      <alignment vertical="center" shrinkToFit="1"/>
    </xf>
    <xf numFmtId="4" fontId="0" fillId="0" borderId="0" xfId="2" applyNumberFormat="1" applyFont="1" applyFill="1">
      <alignment vertical="center"/>
    </xf>
    <xf numFmtId="176" fontId="0" fillId="0" borderId="0" xfId="1" applyNumberFormat="1" applyFont="1" applyFill="1">
      <alignment vertical="center"/>
    </xf>
    <xf numFmtId="40" fontId="6" fillId="0" borderId="0" xfId="1" applyNumberFormat="1" applyFont="1" applyFill="1">
      <alignment vertical="center"/>
    </xf>
    <xf numFmtId="38" fontId="6" fillId="0" borderId="0" xfId="1" applyFont="1" applyFill="1">
      <alignment vertical="center"/>
    </xf>
    <xf numFmtId="40" fontId="6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shrinkToFit="1"/>
    </xf>
    <xf numFmtId="38" fontId="0" fillId="0" borderId="1" xfId="1" applyFont="1" applyFill="1" applyBorder="1" applyAlignment="1">
      <alignment vertical="center" shrinkToFit="1"/>
    </xf>
    <xf numFmtId="38" fontId="0" fillId="0" borderId="1" xfId="1" applyFont="1" applyFill="1" applyBorder="1">
      <alignment vertical="center"/>
    </xf>
    <xf numFmtId="40" fontId="0" fillId="0" borderId="1" xfId="1" applyNumberFormat="1" applyFont="1" applyFill="1" applyBorder="1" applyAlignment="1">
      <alignment vertical="center" shrinkToFit="1"/>
    </xf>
    <xf numFmtId="177" fontId="0" fillId="0" borderId="1" xfId="1" applyNumberFormat="1" applyFont="1" applyFill="1" applyBorder="1" applyAlignment="1">
      <alignment vertical="center" shrinkToFit="1"/>
    </xf>
    <xf numFmtId="177" fontId="0" fillId="0" borderId="1" xfId="1" applyNumberFormat="1" applyFont="1" applyFill="1" applyBorder="1">
      <alignment vertical="center"/>
    </xf>
    <xf numFmtId="176" fontId="0" fillId="0" borderId="1" xfId="2" applyNumberFormat="1" applyFont="1" applyFill="1" applyBorder="1" applyAlignment="1">
      <alignment vertical="center" shrinkToFit="1"/>
    </xf>
    <xf numFmtId="176" fontId="0" fillId="0" borderId="1" xfId="2" applyNumberFormat="1" applyFont="1" applyFill="1" applyBorder="1">
      <alignment vertical="center"/>
    </xf>
    <xf numFmtId="38" fontId="0" fillId="0" borderId="1" xfId="2" applyNumberFormat="1" applyFont="1" applyFill="1" applyBorder="1" applyAlignment="1">
      <alignment vertical="center" shrinkToFit="1"/>
    </xf>
    <xf numFmtId="40" fontId="0" fillId="0" borderId="1" xfId="1" applyNumberFormat="1" applyFont="1" applyFill="1" applyBorder="1">
      <alignment vertical="center"/>
    </xf>
    <xf numFmtId="40" fontId="0" fillId="0" borderId="1" xfId="2" applyNumberFormat="1" applyFont="1" applyFill="1" applyBorder="1" applyAlignment="1">
      <alignment vertical="center" shrinkToFit="1"/>
    </xf>
    <xf numFmtId="40" fontId="0" fillId="0" borderId="1" xfId="2" applyNumberFormat="1" applyFont="1" applyFill="1" applyBorder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7" fillId="0" borderId="0" xfId="0" applyFont="1" applyAlignment="1">
      <alignment vertical="center" shrinkToFit="1"/>
    </xf>
    <xf numFmtId="177" fontId="0" fillId="0" borderId="1" xfId="1" applyNumberFormat="1" applyFont="1" applyFill="1" applyBorder="1" applyAlignment="1">
      <alignment vertical="center" wrapText="1" shrinkToFit="1"/>
    </xf>
    <xf numFmtId="6" fontId="0" fillId="0" borderId="1" xfId="3" applyFont="1" applyFill="1" applyBorder="1" applyAlignment="1">
      <alignment vertical="center" shrinkToFit="1"/>
    </xf>
    <xf numFmtId="0" fontId="0" fillId="2" borderId="2" xfId="0" applyFill="1" applyBorder="1">
      <alignment vertical="center"/>
    </xf>
    <xf numFmtId="178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vertical="center" shrinkToFit="1"/>
    </xf>
    <xf numFmtId="38" fontId="0" fillId="0" borderId="3" xfId="1" applyFont="1" applyFill="1" applyBorder="1" applyAlignment="1">
      <alignment vertical="center" shrinkToFit="1"/>
    </xf>
    <xf numFmtId="38" fontId="0" fillId="0" borderId="3" xfId="1" applyFont="1" applyFill="1" applyBorder="1">
      <alignment vertical="center"/>
    </xf>
    <xf numFmtId="26" fontId="0" fillId="0" borderId="0" xfId="0" applyNumberFormat="1">
      <alignment vertical="center"/>
    </xf>
    <xf numFmtId="26" fontId="0" fillId="2" borderId="0" xfId="0" applyNumberFormat="1" applyFill="1">
      <alignment vertical="center"/>
    </xf>
    <xf numFmtId="26" fontId="3" fillId="0" borderId="0" xfId="0" applyNumberFormat="1" applyFont="1">
      <alignment vertical="center"/>
    </xf>
    <xf numFmtId="26" fontId="3" fillId="2" borderId="0" xfId="0" applyNumberFormat="1" applyFont="1" applyFill="1">
      <alignment vertical="center"/>
    </xf>
    <xf numFmtId="179" fontId="3" fillId="0" borderId="0" xfId="1" applyNumberFormat="1" applyFont="1" applyFill="1">
      <alignment vertical="center"/>
    </xf>
    <xf numFmtId="180" fontId="3" fillId="0" borderId="0" xfId="1" applyNumberFormat="1" applyFont="1" applyFill="1">
      <alignment vertical="center"/>
    </xf>
    <xf numFmtId="181" fontId="3" fillId="0" borderId="0" xfId="1" applyNumberFormat="1" applyFont="1" applyFill="1">
      <alignment vertical="center"/>
    </xf>
    <xf numFmtId="0" fontId="3" fillId="0" borderId="0" xfId="2" applyNumberFormat="1" applyFont="1" applyFill="1">
      <alignment vertical="center"/>
    </xf>
    <xf numFmtId="179" fontId="3" fillId="0" borderId="0" xfId="2" applyNumberFormat="1" applyFont="1" applyFill="1">
      <alignment vertical="center"/>
    </xf>
    <xf numFmtId="179" fontId="3" fillId="0" borderId="0" xfId="0" applyNumberFormat="1" applyFont="1">
      <alignment vertical="center"/>
    </xf>
    <xf numFmtId="40" fontId="3" fillId="0" borderId="0" xfId="1" applyNumberFormat="1" applyFont="1" applyFill="1">
      <alignment vertical="center"/>
    </xf>
    <xf numFmtId="4" fontId="0" fillId="0" borderId="0" xfId="0" applyNumberFormat="1">
      <alignment vertical="center"/>
    </xf>
    <xf numFmtId="4" fontId="3" fillId="0" borderId="0" xfId="0" applyNumberFormat="1" applyFont="1">
      <alignment vertical="center"/>
    </xf>
    <xf numFmtId="4" fontId="3" fillId="0" borderId="0" xfId="1" applyNumberFormat="1" applyFont="1" applyFill="1">
      <alignment vertical="center"/>
    </xf>
    <xf numFmtId="4" fontId="3" fillId="0" borderId="0" xfId="2" applyNumberFormat="1" applyFont="1" applyFill="1">
      <alignment vertical="center"/>
    </xf>
    <xf numFmtId="178" fontId="0" fillId="0" borderId="4" xfId="0" applyNumberFormat="1" applyBorder="1">
      <alignment vertical="center"/>
    </xf>
    <xf numFmtId="40" fontId="0" fillId="0" borderId="0" xfId="0" applyNumberFormat="1" applyAlignment="1">
      <alignment vertical="center" shrinkToFit="1"/>
    </xf>
    <xf numFmtId="40" fontId="0" fillId="0" borderId="0" xfId="0" applyNumberFormat="1">
      <alignment vertical="center"/>
    </xf>
    <xf numFmtId="0" fontId="6" fillId="0" borderId="4" xfId="0" applyFont="1" applyBorder="1" applyAlignment="1">
      <alignment horizontal="center" vertical="center"/>
    </xf>
    <xf numFmtId="40" fontId="3" fillId="0" borderId="0" xfId="0" applyNumberFormat="1" applyFont="1">
      <alignment vertical="center"/>
    </xf>
    <xf numFmtId="31" fontId="0" fillId="0" borderId="0" xfId="0" applyNumberFormat="1">
      <alignment vertical="center"/>
    </xf>
    <xf numFmtId="31" fontId="3" fillId="0" borderId="0" xfId="2" applyNumberFormat="1" applyFont="1" applyFill="1" applyAlignment="1">
      <alignment vertical="center" shrinkToFit="1"/>
    </xf>
    <xf numFmtId="31" fontId="3" fillId="0" borderId="0" xfId="0" applyNumberFormat="1" applyFont="1">
      <alignment vertical="center"/>
    </xf>
    <xf numFmtId="31" fontId="3" fillId="0" borderId="0" xfId="1" applyNumberFormat="1" applyFont="1" applyFill="1" applyAlignment="1">
      <alignment vertical="center" shrinkToFit="1"/>
    </xf>
    <xf numFmtId="40" fontId="0" fillId="3" borderId="1" xfId="1" applyNumberFormat="1" applyFont="1" applyFill="1" applyBorder="1">
      <alignment vertical="center"/>
    </xf>
    <xf numFmtId="40" fontId="0" fillId="3" borderId="1" xfId="1" applyNumberFormat="1" applyFont="1" applyFill="1" applyBorder="1" applyAlignment="1">
      <alignment vertical="center" shrinkToFit="1"/>
    </xf>
  </cellXfs>
  <cellStyles count="17">
    <cellStyle name="Comma [0]" xfId="1" builtinId="6"/>
    <cellStyle name="Currency [0]" xfId="3" builtinId="7"/>
    <cellStyle name="Normal" xfId="0" builtinId="0"/>
    <cellStyle name="Per cent" xfId="2" builtinId="5"/>
    <cellStyle name="標準 2" xfId="4" xr:uid="{D5B2053A-C173-4E6A-8439-ABCF59A57DE9}"/>
    <cellStyle name="標準 2 4 3" xfId="5" xr:uid="{E60547BB-92A5-4B58-ACA3-AB8D3AE4B942}"/>
    <cellStyle name="標準 2 4 3 2" xfId="6" xr:uid="{BB4B2701-5862-4041-863E-1A3414426ACE}"/>
    <cellStyle name="標準 2 4 3 2 2" xfId="8" xr:uid="{BC6CE057-2791-4E8A-B5A8-C19051D26743}"/>
    <cellStyle name="標準 2 4 3 2 3" xfId="10" xr:uid="{AFA8337C-2BE4-4BE6-A233-9F8FB08A51E8}"/>
    <cellStyle name="標準 2 4 3 2 4" xfId="12" xr:uid="{CEA58439-35D4-4F6D-86DE-9C55B6A78172}"/>
    <cellStyle name="標準 2 4 3 2 5" xfId="14" xr:uid="{4FEF3FAA-95C3-4A6E-AA52-CD7E54A9B28F}"/>
    <cellStyle name="標準 2 4 3 2 6" xfId="16" xr:uid="{EBE5BEA7-9C10-4D35-8748-D0814405AB41}"/>
    <cellStyle name="標準 2 4 3 3" xfId="7" xr:uid="{A451A8B9-8F36-4F46-9FF5-8D06FE6479D5}"/>
    <cellStyle name="標準 2 4 3 4" xfId="9" xr:uid="{BC82D294-0CDF-4C5B-B257-6749E953498D}"/>
    <cellStyle name="標準 2 4 3 5" xfId="11" xr:uid="{C856E33C-8363-4476-A657-950CD1714DCD}"/>
    <cellStyle name="標準 2 4 3 6" xfId="13" xr:uid="{D549618D-20E3-47C9-8231-7584E6CD2198}"/>
    <cellStyle name="標準 2 4 3 7" xfId="15" xr:uid="{B6495C84-78B9-401F-8D30-966747B49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F941-F07E-413A-9A4E-B2967EB307AE}">
  <dimension ref="A1:AG47"/>
  <sheetViews>
    <sheetView zoomScale="90" zoomScaleNormal="90" workbookViewId="0">
      <pane xSplit="1" topLeftCell="O1" activePane="topRight" state="frozen"/>
      <selection pane="topRight" activeCell="AC30" sqref="AC30"/>
    </sheetView>
  </sheetViews>
  <sheetFormatPr defaultRowHeight="18"/>
  <cols>
    <col min="1" max="1" width="19.75" style="12" customWidth="1"/>
    <col min="2" max="2" width="15.25" bestFit="1" customWidth="1"/>
    <col min="3" max="6" width="13.25" bestFit="1" customWidth="1"/>
    <col min="7" max="7" width="10.375" customWidth="1"/>
    <col min="8" max="10" width="13.25" bestFit="1" customWidth="1"/>
    <col min="11" max="13" width="12.125" bestFit="1" customWidth="1"/>
    <col min="14" max="18" width="12.125" customWidth="1"/>
    <col min="19" max="19" width="13.25" bestFit="1" customWidth="1"/>
    <col min="20" max="20" width="10.375" customWidth="1"/>
    <col min="21" max="22" width="13.25" customWidth="1"/>
    <col min="23" max="32" width="13.25" bestFit="1" customWidth="1"/>
    <col min="33" max="33" width="17.25" bestFit="1" customWidth="1"/>
  </cols>
  <sheetData>
    <row r="1" spans="1:33">
      <c r="A1" s="21" t="s">
        <v>0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5">
        <v>45961</v>
      </c>
      <c r="X1" s="5">
        <v>45991</v>
      </c>
      <c r="Y1" s="5">
        <v>46022</v>
      </c>
      <c r="Z1" s="5">
        <v>46053</v>
      </c>
      <c r="AA1" s="5">
        <v>46081</v>
      </c>
      <c r="AB1" s="5">
        <v>46112</v>
      </c>
      <c r="AC1" s="5">
        <v>46142</v>
      </c>
      <c r="AD1" s="5">
        <v>46173</v>
      </c>
      <c r="AE1" s="5">
        <v>46203</v>
      </c>
      <c r="AF1" s="5">
        <v>46234</v>
      </c>
    </row>
    <row r="2" spans="1:33">
      <c r="A2" s="12" t="s">
        <v>1</v>
      </c>
      <c r="B2" s="6">
        <f>B3*150</f>
        <v>4049634000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>
      <c r="A3" s="12" t="s">
        <v>2</v>
      </c>
      <c r="B3" s="14">
        <f>SUM('1Wall#831:248-250W102nd'!B3)</f>
        <v>26997560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3">
      <c r="A4" s="12" t="s">
        <v>3</v>
      </c>
      <c r="B4" s="1">
        <f>SUM(B6*B5)</f>
        <v>25541112.000000004</v>
      </c>
      <c r="C4" s="1">
        <f t="shared" ref="C4:S4" si="0">SUM(C6*C5)</f>
        <v>0</v>
      </c>
      <c r="D4" s="1">
        <f t="shared" si="0"/>
        <v>103473.47840000001</v>
      </c>
      <c r="E4" s="1">
        <f t="shared" si="0"/>
        <v>729647.1</v>
      </c>
      <c r="F4" s="1">
        <f t="shared" si="0"/>
        <v>1864639.9823999999</v>
      </c>
      <c r="G4" s="1"/>
      <c r="H4" s="1">
        <f t="shared" si="0"/>
        <v>2156131.3680000002</v>
      </c>
      <c r="I4" s="1">
        <f t="shared" si="0"/>
        <v>3158809.0127999997</v>
      </c>
      <c r="J4" s="1">
        <f t="shared" si="0"/>
        <v>3858278.3543999996</v>
      </c>
      <c r="K4" s="1">
        <f t="shared" si="0"/>
        <v>4643609.0108000003</v>
      </c>
      <c r="L4" s="1">
        <f t="shared" si="0"/>
        <v>6271974.6165999994</v>
      </c>
      <c r="M4" s="1">
        <f t="shared" si="0"/>
        <v>8600148.0165999997</v>
      </c>
      <c r="N4" s="1">
        <f t="shared" si="0"/>
        <v>10893807.281699998</v>
      </c>
      <c r="O4" s="1">
        <f t="shared" si="0"/>
        <v>9594219.9360000007</v>
      </c>
      <c r="P4" s="1">
        <f t="shared" si="0"/>
        <v>10391116.0767</v>
      </c>
      <c r="Q4" s="1">
        <f t="shared" si="0"/>
        <v>15100448.452600002</v>
      </c>
      <c r="R4" s="1">
        <f t="shared" si="0"/>
        <v>18491428.960200001</v>
      </c>
      <c r="S4" s="1">
        <f t="shared" si="0"/>
        <v>19852788.166499998</v>
      </c>
      <c r="U4" s="1">
        <f t="shared" ref="U4:AF4" si="1">SUM(U6*U5)</f>
        <v>19973368.500799999</v>
      </c>
      <c r="V4" s="1">
        <f t="shared" si="1"/>
        <v>20026064.676000003</v>
      </c>
      <c r="W4" s="1">
        <f t="shared" si="1"/>
        <v>24261206.587000001</v>
      </c>
      <c r="X4" s="1">
        <f t="shared" si="1"/>
        <v>25523643.2163</v>
      </c>
      <c r="Y4" s="1">
        <f t="shared" si="1"/>
        <v>24479746.649599999</v>
      </c>
      <c r="Z4" s="1">
        <f t="shared" si="1"/>
        <v>24411990.3222</v>
      </c>
      <c r="AA4" s="1">
        <f t="shared" si="1"/>
        <v>25966651.104700003</v>
      </c>
      <c r="AB4" s="1">
        <f t="shared" si="1"/>
        <v>25381773.381999999</v>
      </c>
      <c r="AC4" s="1">
        <f t="shared" si="1"/>
        <v>2822863.9999999995</v>
      </c>
      <c r="AD4" s="1">
        <f t="shared" si="1"/>
        <v>0</v>
      </c>
      <c r="AE4" s="1">
        <f t="shared" si="1"/>
        <v>0</v>
      </c>
      <c r="AF4" s="1">
        <f t="shared" si="1"/>
        <v>0</v>
      </c>
    </row>
    <row r="5" spans="1:33">
      <c r="A5" s="12" t="s">
        <v>4</v>
      </c>
      <c r="B5" s="13">
        <v>150</v>
      </c>
      <c r="C5" s="13">
        <v>156.9</v>
      </c>
      <c r="D5" s="13">
        <v>156.74</v>
      </c>
      <c r="E5" s="13">
        <v>161.07</v>
      </c>
      <c r="F5" s="13">
        <v>152.44</v>
      </c>
      <c r="G5" s="13"/>
      <c r="H5" s="13">
        <v>144.80000000000001</v>
      </c>
      <c r="I5" s="13">
        <v>142.72999999999999</v>
      </c>
      <c r="J5" s="13">
        <v>153.63999999999999</v>
      </c>
      <c r="K5" s="13">
        <v>150.74</v>
      </c>
      <c r="L5" s="13">
        <v>158.18</v>
      </c>
      <c r="M5" s="13">
        <v>154.43</v>
      </c>
      <c r="N5" s="13">
        <v>149.66999999999999</v>
      </c>
      <c r="O5" s="13">
        <v>149.52000000000001</v>
      </c>
      <c r="P5" s="13">
        <v>142.57</v>
      </c>
      <c r="Q5" s="13">
        <v>143.87</v>
      </c>
      <c r="R5" s="13">
        <v>144.81</v>
      </c>
      <c r="S5" s="13">
        <v>149.38999999999999</v>
      </c>
      <c r="U5" s="13">
        <v>146.91999999999999</v>
      </c>
      <c r="V5" s="13">
        <v>148.88</v>
      </c>
      <c r="W5" s="13">
        <v>154.1</v>
      </c>
      <c r="X5" s="13">
        <v>156.63</v>
      </c>
      <c r="Y5" s="13">
        <v>156.56</v>
      </c>
      <c r="Z5" s="13">
        <v>153.66</v>
      </c>
      <c r="AA5" s="13">
        <v>155.81</v>
      </c>
      <c r="AB5" s="13">
        <v>159.88</v>
      </c>
      <c r="AC5" s="13">
        <v>160.38999999999999</v>
      </c>
      <c r="AD5" s="13"/>
      <c r="AE5" s="13"/>
      <c r="AF5" s="13"/>
      <c r="AG5" t="s">
        <v>5</v>
      </c>
    </row>
    <row r="6" spans="1:33">
      <c r="A6" s="12" t="s">
        <v>6</v>
      </c>
      <c r="B6" s="13">
        <f>SUM('1Wall#831:248-250W102nd'!B6)</f>
        <v>170274.08000000002</v>
      </c>
      <c r="C6" s="13">
        <f>SUM('1Wall#831:248-250W102nd'!C6)</f>
        <v>0</v>
      </c>
      <c r="D6" s="13">
        <f>SUM('1Wall#831:248-250W102nd'!D6)</f>
        <v>660.16</v>
      </c>
      <c r="E6" s="13">
        <f>SUM('1Wall#831:248-250W102nd'!E6)</f>
        <v>4530</v>
      </c>
      <c r="F6" s="13">
        <f>SUM('1Wall#831:248-250W102nd'!F6)</f>
        <v>12231.96</v>
      </c>
      <c r="G6" s="13"/>
      <c r="H6" s="13">
        <f>SUM('1Wall#831:248-250W102nd'!H6)</f>
        <v>14890.41</v>
      </c>
      <c r="I6" s="13">
        <f>SUM('1Wall#831:248-250W102nd'!I6)</f>
        <v>22131.360000000001</v>
      </c>
      <c r="J6" s="13">
        <f>SUM('1Wall#831:248-250W102nd'!J6)</f>
        <v>25112.46</v>
      </c>
      <c r="K6" s="13">
        <f>SUM('1Wall#831:248-250W102nd'!K6)</f>
        <v>30805.42</v>
      </c>
      <c r="L6" s="13">
        <f>SUM('1Wall#831:248-250W102nd'!L6)</f>
        <v>39650.869999999995</v>
      </c>
      <c r="M6" s="13">
        <f>SUM('1Wall#831:248-250W102nd'!M6)</f>
        <v>55689.619999999995</v>
      </c>
      <c r="N6" s="13">
        <f>SUM('1Wall#831:248-250W102nd'!N6)</f>
        <v>72785.509999999995</v>
      </c>
      <c r="O6" s="13">
        <f>SUM('1Wall#831:248-250W102nd'!O6)</f>
        <v>64166.8</v>
      </c>
      <c r="P6" s="13">
        <f>SUM('1Wall#831:248-250W102nd'!P6)</f>
        <v>72884.31</v>
      </c>
      <c r="Q6" s="13">
        <f>SUM('1Wall#831:248-250W102nd'!Q6)</f>
        <v>104958.98000000001</v>
      </c>
      <c r="R6" s="13">
        <f>SUM('1Wall#831:248-250W102nd'!R6)</f>
        <v>127694.42000000001</v>
      </c>
      <c r="S6" s="13">
        <f>SUM('1Wall#831:248-250W102nd'!S6)</f>
        <v>132892.35</v>
      </c>
      <c r="T6" s="13"/>
      <c r="U6" s="13">
        <f>SUM('1Wall#831:248-250W102nd'!U6)</f>
        <v>135947.24</v>
      </c>
      <c r="V6" s="13">
        <f>SUM('1Wall#831:248-250W102nd'!V6)</f>
        <v>134511.45000000001</v>
      </c>
      <c r="W6" s="13">
        <f>SUM('1Wall#831:248-250W102nd'!W6)</f>
        <v>157438.07</v>
      </c>
      <c r="X6" s="13">
        <f>SUM('1Wall#831:248-250W102nd'!X6)</f>
        <v>162955.01</v>
      </c>
      <c r="Y6" s="13">
        <f>SUM('1Wall#831:248-250W102nd'!Y6)</f>
        <v>156360.16</v>
      </c>
      <c r="Z6" s="13">
        <f>SUM('1Wall#831:248-250W102nd'!Z6)</f>
        <v>158870.17000000001</v>
      </c>
      <c r="AA6" s="13">
        <f>SUM('1Wall#831:248-250W102nd'!AA6)</f>
        <v>166655.87000000002</v>
      </c>
      <c r="AB6" s="13">
        <f>SUM('1Wall#831:248-250W102nd'!AB6)</f>
        <v>158755.15</v>
      </c>
      <c r="AC6" s="13">
        <f>SUM('1Wall#831:248-250W102nd'!AC6)</f>
        <v>17600</v>
      </c>
      <c r="AD6" s="13">
        <f>SUM('1Wall#831:248-250W102nd'!AD6)</f>
        <v>4350</v>
      </c>
      <c r="AE6" s="13">
        <f>SUM('1Wall#831:248-250W102nd'!AE6)</f>
        <v>0</v>
      </c>
      <c r="AF6" s="13">
        <f>SUM('1Wall#831:248-250W102nd'!AF6)</f>
        <v>0</v>
      </c>
    </row>
    <row r="7" spans="1:33">
      <c r="A7" s="12" t="s">
        <v>7</v>
      </c>
      <c r="B7" s="11">
        <f>SUM('1Wall#831:248-250W102nd'!B7)</f>
        <v>3059113726</v>
      </c>
      <c r="C7" s="11">
        <f>SUM('1Wall#831:248-250W102nd'!C7)</f>
        <v>3668273</v>
      </c>
      <c r="D7" s="11">
        <f>SUM('1Wall#831:248-250W102nd'!D7)</f>
        <v>4938140</v>
      </c>
      <c r="E7" s="11">
        <f>SUM('1Wall#831:248-250W102nd'!E7)</f>
        <v>4938140</v>
      </c>
      <c r="F7" s="11">
        <f>SUM('1Wall#831:248-250W102nd'!F7)</f>
        <v>6177180</v>
      </c>
      <c r="G7" s="11"/>
      <c r="H7" s="11">
        <f>SUM('1Wall#831:248-250W102nd'!H7)</f>
        <v>6177172</v>
      </c>
      <c r="I7" s="11">
        <f>SUM('1Wall#831:248-250W102nd'!I7)</f>
        <v>8862692</v>
      </c>
      <c r="J7" s="11">
        <f>SUM('1Wall#831:248-250W102nd'!J7)</f>
        <v>8862692</v>
      </c>
      <c r="K7" s="11">
        <f>SUM('1Wall#831:248-250W102nd'!K7)</f>
        <v>10536573</v>
      </c>
      <c r="L7" s="11">
        <f>SUM('1Wall#831:248-250W102nd'!L7)</f>
        <v>11807263</v>
      </c>
      <c r="M7" s="11">
        <f>SUM('1Wall#831:248-250W102nd'!M7)</f>
        <v>28855758</v>
      </c>
      <c r="N7" s="11">
        <f>SUM('1Wall#831:248-250W102nd'!N7)</f>
        <v>28855724</v>
      </c>
      <c r="O7" s="11">
        <f>SUM('1Wall#831:248-250W102nd'!O7)</f>
        <v>28855724</v>
      </c>
      <c r="P7" s="11">
        <f>SUM('1Wall#831:248-250W102nd'!P7)</f>
        <v>28855724</v>
      </c>
      <c r="Q7" s="11">
        <f>SUM('1Wall#831:248-250W102nd'!Q7)</f>
        <v>40483088</v>
      </c>
      <c r="R7" s="11">
        <f>SUM('1Wall#831:248-250W102nd'!R7)</f>
        <v>40483088</v>
      </c>
      <c r="S7" s="11">
        <f>SUM('1Wall#831:248-250W102nd'!S7)</f>
        <v>40483129</v>
      </c>
      <c r="T7" s="11"/>
      <c r="U7" s="11">
        <f>SUM('1Wall#831:248-250W102nd'!U7)</f>
        <v>46486085</v>
      </c>
      <c r="V7" s="11">
        <f>SUM('1Wall#831:248-250W102nd'!V7)</f>
        <v>46486085</v>
      </c>
      <c r="W7" s="11">
        <f>SUM('1Wall#831:248-250W102nd'!W7)</f>
        <v>48253271</v>
      </c>
      <c r="X7" s="11">
        <f>SUM('1Wall#831:248-250W102nd'!X7)</f>
        <v>48253271</v>
      </c>
      <c r="Y7" s="11">
        <f>SUM('1Wall#831:248-250W102nd'!Y7)</f>
        <v>48253271</v>
      </c>
      <c r="Z7" s="11">
        <f>SUM('1Wall#831:248-250W102nd'!Z7)</f>
        <v>48253325</v>
      </c>
      <c r="AA7" s="11">
        <f>SUM('1Wall#831:248-250W102nd'!AA7)</f>
        <v>48253271</v>
      </c>
      <c r="AB7" s="11">
        <f>SUM('1Wall#831:248-250W102nd'!AB7)</f>
        <v>48253271</v>
      </c>
      <c r="AC7" s="11">
        <f>SUM('1Wall#831:248-250W102nd'!AC7)</f>
        <v>48253271</v>
      </c>
      <c r="AD7" s="11">
        <f>SUM('1Wall#831:248-250W102nd'!AD7)</f>
        <v>48253271</v>
      </c>
      <c r="AE7" s="11">
        <f>SUM('1Wall#831:248-250W102nd'!AE7)</f>
        <v>48253271</v>
      </c>
      <c r="AF7" s="11">
        <f>SUM('1Wall#831:248-250W102nd'!AF7)</f>
        <v>48253335</v>
      </c>
    </row>
    <row r="8" spans="1:33">
      <c r="A8" s="12" t="s">
        <v>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3">
      <c r="A9" s="12" t="s">
        <v>9</v>
      </c>
      <c r="B9" s="1">
        <f>SUM('1Wall#831:248-250W102nd'!B9)</f>
        <v>3056520279</v>
      </c>
      <c r="C9" s="1">
        <f>SUM('1Wall#831:248-250W102nd'!C9)</f>
        <v>386767709</v>
      </c>
      <c r="D9" s="1">
        <f>SUM('1Wall#831:248-250W102nd'!D9)</f>
        <v>517886837</v>
      </c>
      <c r="E9" s="1">
        <f>SUM('1Wall#831:248-250W102nd'!E9)</f>
        <v>512948697</v>
      </c>
      <c r="F9" s="1">
        <f>SUM('1Wall#831:248-250W102nd'!F9)</f>
        <v>639525030</v>
      </c>
      <c r="G9" s="1"/>
      <c r="H9" s="1">
        <f>SUM('1Wall#831:248-250W102nd'!H9)</f>
        <v>633347858</v>
      </c>
      <c r="I9" s="1">
        <f>SUM('1Wall#831:248-250W102nd'!I9)</f>
        <v>912219591</v>
      </c>
      <c r="J9" s="1">
        <f>SUM('1Wall#831:248-250W102nd'!J9)</f>
        <v>903356899</v>
      </c>
      <c r="K9" s="1">
        <f>SUM('1Wall#831:248-250W102nd'!K9)</f>
        <v>1072164906</v>
      </c>
      <c r="L9" s="1">
        <f>SUM('1Wall#831:248-250W102nd'!L9)</f>
        <v>1196503072</v>
      </c>
      <c r="M9" s="1">
        <f>SUM('1Wall#831:248-250W102nd'!M9)</f>
        <v>1985973482</v>
      </c>
      <c r="N9" s="1">
        <f>SUM('1Wall#831:248-250W102nd'!N9)</f>
        <v>1957117758</v>
      </c>
      <c r="O9" s="1">
        <f>SUM('1Wall#831:248-250W102nd'!O9)</f>
        <v>1928262034</v>
      </c>
      <c r="P9" s="1">
        <f>SUM('1Wall#831:248-250W102nd'!P9)</f>
        <v>1899406310</v>
      </c>
      <c r="Q9" s="1">
        <f>SUM('1Wall#831:248-250W102nd'!Q9)</f>
        <v>2834646136</v>
      </c>
      <c r="R9" s="1">
        <f>SUM('1Wall#831:248-250W102nd'!R9)</f>
        <v>2794163048</v>
      </c>
      <c r="S9" s="1">
        <f>SUM('1Wall#831:248-250W102nd'!S9)</f>
        <v>3147295398</v>
      </c>
      <c r="T9" s="1"/>
      <c r="U9" s="1">
        <f>SUM('1Wall#831:248-250W102nd'!U9)</f>
        <v>3100809313</v>
      </c>
      <c r="V9" s="1">
        <f>SUM('1Wall#831:248-250W102nd'!V9)</f>
        <v>3181306658</v>
      </c>
      <c r="W9" s="1">
        <f>SUM('1Wall#831:248-250W102nd'!W9)</f>
        <v>3133053387</v>
      </c>
      <c r="X9" s="1">
        <f>SUM('1Wall#831:248-250W102nd'!X9)</f>
        <v>3084800116</v>
      </c>
      <c r="Y9" s="1">
        <f>SUM('1Wall#831:248-250W102nd'!Y9)</f>
        <v>3036546845</v>
      </c>
      <c r="Z9" s="1">
        <f>SUM('1Wall#831:248-250W102nd'!Z9)</f>
        <v>2988293520</v>
      </c>
      <c r="AA9" s="1">
        <f>SUM('1Wall#831:248-250W102nd'!AA9)</f>
        <v>2940040249</v>
      </c>
      <c r="AB9" s="1">
        <f>SUM('1Wall#831:248-250W102nd'!AB9)</f>
        <v>2891786978</v>
      </c>
      <c r="AC9" s="1">
        <f>SUM('1Wall#831:248-250W102nd'!AC9)</f>
        <v>2843533707</v>
      </c>
      <c r="AD9" s="1">
        <f>SUM('1Wall#831:248-250W102nd'!AD9)</f>
        <v>2795280436</v>
      </c>
      <c r="AE9" s="1">
        <f>SUM('1Wall#831:248-250W102nd'!AE9)</f>
        <v>2747027165</v>
      </c>
      <c r="AF9" s="1">
        <f>SUM('1Wall#831:248-250W102nd'!AF9)</f>
        <v>2698773830</v>
      </c>
    </row>
    <row r="10" spans="1:33">
      <c r="A10" s="12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3">
      <c r="A11" s="12" t="s">
        <v>11</v>
      </c>
      <c r="B11" s="13"/>
      <c r="C11" s="13">
        <f>SUM('1Wall#831:248-250W102nd'!C11)</f>
        <v>1263.27</v>
      </c>
      <c r="D11" s="13">
        <f>SUM('1Wall#831:248-250W102nd'!D11)</f>
        <v>300</v>
      </c>
      <c r="E11" s="13">
        <f>SUM('1Wall#831:248-250W102nd'!E11)</f>
        <v>300</v>
      </c>
      <c r="F11" s="13">
        <f>SUM('1Wall#831:248-250W102nd'!F11)</f>
        <v>1228</v>
      </c>
      <c r="G11" s="13"/>
      <c r="H11" s="13">
        <f>SUM('1Wall#831:248-250W102nd'!H11)</f>
        <v>6944</v>
      </c>
      <c r="I11" s="13">
        <f>SUM('1Wall#831:248-250W102nd'!I11)</f>
        <v>8024.5</v>
      </c>
      <c r="J11" s="13">
        <f>SUM('1Wall#831:248-250W102nd'!J11)</f>
        <v>3140.45</v>
      </c>
      <c r="K11" s="13">
        <f>SUM('1Wall#831:248-250W102nd'!K11)</f>
        <v>14560.220000000001</v>
      </c>
      <c r="L11" s="13">
        <f>SUM('1Wall#831:248-250W102nd'!L11)</f>
        <v>3080.66</v>
      </c>
      <c r="M11" s="13">
        <f>SUM('1Wall#831:248-250W102nd'!M11)</f>
        <v>3949.2</v>
      </c>
      <c r="N11" s="13">
        <f>SUM('1Wall#831:248-250W102nd'!N11)</f>
        <v>4685.5</v>
      </c>
      <c r="O11" s="13">
        <f>SUM('1Wall#831:248-250W102nd'!O11)</f>
        <v>4487.5</v>
      </c>
      <c r="P11" s="13">
        <f>SUM('1Wall#831:248-250W102nd'!P11)</f>
        <v>4799.5</v>
      </c>
      <c r="Q11" s="13">
        <f>SUM('1Wall#831:248-250W102nd'!Q11)</f>
        <v>6106.99</v>
      </c>
      <c r="R11" s="13">
        <f>SUM('1Wall#831:248-250W102nd'!R11)</f>
        <v>7389.77</v>
      </c>
      <c r="S11" s="13">
        <f>SUM('1Wall#831:248-250W102nd'!S11)</f>
        <v>7972.87</v>
      </c>
      <c r="T11" s="13"/>
      <c r="U11" s="13">
        <f>SUM('1Wall#831:248-250W102nd'!U11)</f>
        <v>8011.55</v>
      </c>
      <c r="V11" s="13">
        <f>SUM('1Wall#831:248-250W102nd'!V11)</f>
        <v>7939.96</v>
      </c>
      <c r="W11" s="13">
        <f>SUM('1Wall#831:248-250W102nd'!W11)</f>
        <v>9416.4</v>
      </c>
      <c r="X11" s="13">
        <f>SUM('1Wall#831:248-250W102nd'!X11)</f>
        <v>9401.9599999999991</v>
      </c>
      <c r="Y11" s="13">
        <f>SUM('1Wall#831:248-250W102nd'!Y11)</f>
        <v>7783.89</v>
      </c>
      <c r="Z11" s="13">
        <f>SUM('1Wall#831:248-250W102nd'!Z11)</f>
        <v>9363.119999999999</v>
      </c>
      <c r="AA11" s="13">
        <f>SUM('1Wall#831:248-250W102nd'!AA11)</f>
        <v>9482.16</v>
      </c>
      <c r="AB11" s="13">
        <f>SUM('1Wall#831:248-250W102nd'!AB11)</f>
        <v>9705.869999999999</v>
      </c>
      <c r="AC11" s="13">
        <f>SUM('1Wall#831:248-250W102nd'!AC11)</f>
        <v>1056</v>
      </c>
      <c r="AD11" s="13">
        <f>SUM('1Wall#831:248-250W102nd'!AD11)</f>
        <v>261</v>
      </c>
      <c r="AE11" s="13">
        <f>SUM('1Wall#831:248-250W102nd'!AE11)</f>
        <v>0</v>
      </c>
      <c r="AF11" s="13">
        <f>SUM('1Wall#831:248-250W102nd'!AF11)</f>
        <v>0</v>
      </c>
    </row>
    <row r="12" spans="1:33">
      <c r="A12" s="12" t="s">
        <v>12</v>
      </c>
      <c r="B12" s="13">
        <f>SUM('1Wall#831:248-250W102nd'!B12)</f>
        <v>933135.05999999982</v>
      </c>
      <c r="C12" s="13">
        <f>SUM('1Wall#831:248-250W102nd'!C12)</f>
        <v>2980.3599999999997</v>
      </c>
      <c r="D12" s="13">
        <f>SUM('1Wall#831:248-250W102nd'!D12)</f>
        <v>15580.58</v>
      </c>
      <c r="E12" s="13">
        <f>SUM('1Wall#831:248-250W102nd'!E12)</f>
        <v>10500.52</v>
      </c>
      <c r="F12" s="13">
        <f>SUM('1Wall#831:248-250W102nd'!F12)</f>
        <v>11039.939999999999</v>
      </c>
      <c r="G12" s="13"/>
      <c r="H12" s="13">
        <f>SUM('1Wall#831:248-250W102nd'!H12)</f>
        <v>13185.91</v>
      </c>
      <c r="I12" s="13">
        <f>SUM('1Wall#831:248-250W102nd'!I12)</f>
        <v>52022.080000000002</v>
      </c>
      <c r="J12" s="13">
        <f>SUM('1Wall#831:248-250W102nd'!J12)</f>
        <v>19726.18</v>
      </c>
      <c r="K12" s="13">
        <f>SUM('1Wall#831:248-250W102nd'!K12)</f>
        <v>15135.99</v>
      </c>
      <c r="L12" s="13">
        <f>SUM('1Wall#831:248-250W102nd'!L12)</f>
        <v>36335.800000000003</v>
      </c>
      <c r="M12" s="13">
        <f>SUM('1Wall#831:248-250W102nd'!M12)</f>
        <v>15063.16</v>
      </c>
      <c r="N12" s="13">
        <f>SUM('1Wall#831:248-250W102nd'!N12)</f>
        <v>25078.89</v>
      </c>
      <c r="O12" s="13">
        <f>SUM('1Wall#831:248-250W102nd'!O12)</f>
        <v>32325.54</v>
      </c>
      <c r="P12" s="13">
        <f>SUM('1Wall#831:248-250W102nd'!P12)</f>
        <v>30506.809999999998</v>
      </c>
      <c r="Q12" s="13">
        <f>SUM('1Wall#831:248-250W102nd'!Q12)</f>
        <v>13389.039999999999</v>
      </c>
      <c r="R12" s="13">
        <f>SUM('1Wall#831:248-250W102nd'!R12)</f>
        <v>214406.51</v>
      </c>
      <c r="S12" s="13">
        <f>SUM('1Wall#831:248-250W102nd'!S12)</f>
        <v>157874.59</v>
      </c>
      <c r="T12" s="13"/>
      <c r="U12" s="13">
        <f>SUM('1Wall#831:248-250W102nd'!U12)</f>
        <v>54594.460000000006</v>
      </c>
      <c r="V12" s="13">
        <f>SUM('1Wall#831:248-250W102nd'!V12)</f>
        <v>69155.819999999992</v>
      </c>
      <c r="W12" s="13">
        <f>SUM('1Wall#831:248-250W102nd'!W12)</f>
        <v>72882.19</v>
      </c>
      <c r="X12" s="13">
        <f>SUM('1Wall#831:248-250W102nd'!X12)</f>
        <v>39175.31</v>
      </c>
      <c r="Y12" s="13">
        <f>SUM('1Wall#831:248-250W102nd'!Y12)</f>
        <v>48187.08</v>
      </c>
      <c r="Z12" s="13">
        <f>SUM('1Wall#831:248-250W102nd'!Z12)</f>
        <v>54711.57</v>
      </c>
      <c r="AA12" s="13">
        <f>SUM('1Wall#831:248-250W102nd'!AA12)</f>
        <v>46105.46</v>
      </c>
      <c r="AB12" s="13">
        <f>SUM('1Wall#831:248-250W102nd'!AB12)</f>
        <v>57886.17</v>
      </c>
      <c r="AC12" s="13">
        <f>SUM('1Wall#831:248-250W102nd'!AC12)</f>
        <v>4888.58</v>
      </c>
      <c r="AD12" s="13">
        <f>SUM('1Wall#831:248-250W102nd'!AD12)</f>
        <v>1102.8399999999999</v>
      </c>
      <c r="AE12" s="13">
        <f>SUM('1Wall#831:248-250W102nd'!AE12)</f>
        <v>0</v>
      </c>
      <c r="AF12" s="13">
        <f>SUM('1Wall#831:248-250W102nd'!AF12)</f>
        <v>0</v>
      </c>
    </row>
    <row r="13" spans="1:33">
      <c r="A13" s="12" t="s">
        <v>13</v>
      </c>
      <c r="B13" s="1"/>
      <c r="C13" s="16"/>
      <c r="D13" s="16"/>
      <c r="E13" s="16"/>
      <c r="F13" s="16"/>
      <c r="G13" s="1"/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6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3">
      <c r="A14" s="12" t="s">
        <v>14</v>
      </c>
      <c r="B14" s="1"/>
      <c r="C14" s="16"/>
      <c r="D14" s="16"/>
      <c r="E14" s="16"/>
      <c r="F14" s="16"/>
      <c r="G14" s="1"/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3">
      <c r="A15" s="12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3">
      <c r="A16" s="1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3">
      <c r="A17" s="12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3">
      <c r="A18" s="12" t="s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3">
      <c r="A19" s="12" t="s">
        <v>19</v>
      </c>
      <c r="B19" s="1"/>
      <c r="C19" s="1">
        <f>SUM(C5*C20)</f>
        <v>-665825.54700000002</v>
      </c>
      <c r="D19" s="1">
        <f t="shared" ref="D19:S19" si="2">SUM(D5*D20)</f>
        <v>-2385648.6307999999</v>
      </c>
      <c r="E19" s="1">
        <f t="shared" si="2"/>
        <v>-1009992.6564000002</v>
      </c>
      <c r="F19" s="1">
        <f t="shared" si="2"/>
        <v>-5484.7912000000024</v>
      </c>
      <c r="G19" s="18">
        <f>SUM(C19:F19)</f>
        <v>-4066951.6253999998</v>
      </c>
      <c r="H19" s="1">
        <f t="shared" si="2"/>
        <v>-758679.60000000009</v>
      </c>
      <c r="I19" s="1">
        <f t="shared" si="2"/>
        <v>-5411639.3505999995</v>
      </c>
      <c r="J19" s="1">
        <f t="shared" si="2"/>
        <v>345049.32119999995</v>
      </c>
      <c r="K19" s="1">
        <f t="shared" si="2"/>
        <v>167202.31540000005</v>
      </c>
      <c r="L19" s="1">
        <f t="shared" si="2"/>
        <v>37078.973800000014</v>
      </c>
      <c r="M19" s="1">
        <f t="shared" si="2"/>
        <v>5664069.2617999995</v>
      </c>
      <c r="N19" s="1">
        <f t="shared" si="2"/>
        <v>6438971.0303999986</v>
      </c>
      <c r="O19" s="1">
        <f t="shared" si="2"/>
        <v>4089934.1952000004</v>
      </c>
      <c r="P19" s="1">
        <f t="shared" si="2"/>
        <v>5357495.46</v>
      </c>
      <c r="Q19" s="1">
        <f t="shared" si="2"/>
        <v>12295554.6165</v>
      </c>
      <c r="R19" s="1">
        <f t="shared" si="2"/>
        <v>-13626890.3466</v>
      </c>
      <c r="S19" s="1">
        <f t="shared" si="2"/>
        <v>-4923163.8828999996</v>
      </c>
      <c r="T19" s="20">
        <f>SUM(G19:S19)</f>
        <v>5608030.3688000031</v>
      </c>
      <c r="U19" s="1">
        <f t="shared" ref="U19:AF19" si="3">SUM(U5*U20)</f>
        <v>10775293.511599999</v>
      </c>
      <c r="V19" s="1">
        <f t="shared" si="3"/>
        <v>8548044.9495999999</v>
      </c>
      <c r="W19" s="1">
        <f t="shared" si="3"/>
        <v>11578993.867999999</v>
      </c>
      <c r="X19" s="1">
        <f t="shared" si="3"/>
        <v>17914985.416200001</v>
      </c>
      <c r="Y19" s="1">
        <f t="shared" si="3"/>
        <v>15716931.5864</v>
      </c>
      <c r="Z19" s="1">
        <f t="shared" si="3"/>
        <v>14566273.456799999</v>
      </c>
      <c r="AA19" s="1">
        <f t="shared" si="3"/>
        <v>17305544.032499999</v>
      </c>
      <c r="AB19" s="1">
        <f t="shared" si="3"/>
        <v>14575158.026799999</v>
      </c>
      <c r="AC19" s="1">
        <f t="shared" si="3"/>
        <v>1869412.8137999999</v>
      </c>
      <c r="AD19" s="1">
        <f t="shared" si="3"/>
        <v>0</v>
      </c>
      <c r="AE19" s="1">
        <f t="shared" si="3"/>
        <v>0</v>
      </c>
      <c r="AF19" s="1">
        <f t="shared" si="3"/>
        <v>0</v>
      </c>
      <c r="AG19" s="20">
        <f>SUM(T19:AF19)</f>
        <v>118458668.03049999</v>
      </c>
    </row>
    <row r="20" spans="1:33">
      <c r="A20" s="12" t="s">
        <v>20</v>
      </c>
      <c r="B20" s="13"/>
      <c r="C20" s="13">
        <f>SUM('1Wall#831:248-250W102nd'!C20)</f>
        <v>-4243.63</v>
      </c>
      <c r="D20" s="13">
        <f>SUM('1Wall#831:248-250W102nd'!D20)</f>
        <v>-15220.42</v>
      </c>
      <c r="E20" s="13">
        <f>SUM('1Wall#831:248-250W102nd'!E20)</f>
        <v>-6270.5200000000013</v>
      </c>
      <c r="F20" s="13">
        <f>SUM('1Wall#831:248-250W102nd'!F20)</f>
        <v>-35.980000000000018</v>
      </c>
      <c r="G20" s="17">
        <f>SUM(C20:F20)</f>
        <v>-25770.55</v>
      </c>
      <c r="H20" s="13">
        <f>SUM('1Wall#831:248-250W102nd'!H20)</f>
        <v>-5239.5</v>
      </c>
      <c r="I20" s="13">
        <f>SUM('1Wall#831:248-250W102nd'!I20)</f>
        <v>-37915.22</v>
      </c>
      <c r="J20" s="13">
        <f>SUM('1Wall#831:248-250W102nd'!J20)</f>
        <v>2245.83</v>
      </c>
      <c r="K20" s="13">
        <f>SUM('1Wall#831:248-250W102nd'!K20)</f>
        <v>1109.2100000000003</v>
      </c>
      <c r="L20" s="13">
        <f>SUM('1Wall#831:248-250W102nd'!L20)</f>
        <v>234.41000000000008</v>
      </c>
      <c r="M20" s="13">
        <f>SUM('1Wall#831:248-250W102nd'!M20)</f>
        <v>36677.259999999995</v>
      </c>
      <c r="N20" s="13">
        <f>SUM('1Wall#831:248-250W102nd'!N20)</f>
        <v>43021.119999999995</v>
      </c>
      <c r="O20" s="13">
        <f>SUM('1Wall#831:248-250W102nd'!O20)</f>
        <v>27353.760000000002</v>
      </c>
      <c r="P20" s="13">
        <f>SUM('1Wall#831:248-250W102nd'!P20)</f>
        <v>37578</v>
      </c>
      <c r="Q20" s="13">
        <f>SUM('1Wall#831:248-250W102nd'!Q20)</f>
        <v>85462.95</v>
      </c>
      <c r="R20" s="13">
        <f>SUM('1Wall#831:248-250W102nd'!R20)</f>
        <v>-94101.86</v>
      </c>
      <c r="S20" s="13">
        <f>SUM('1Wall#831:248-250W102nd'!S20)</f>
        <v>-32955.11</v>
      </c>
      <c r="T20" s="19">
        <f>SUM(G20:S20)</f>
        <v>37700.300000000017</v>
      </c>
      <c r="U20" s="13">
        <f>SUM('1Wall#831:248-250W102nd'!U20)</f>
        <v>73341.23</v>
      </c>
      <c r="V20" s="13">
        <f>SUM('1Wall#831:248-250W102nd'!V20)</f>
        <v>57415.67</v>
      </c>
      <c r="W20" s="13">
        <f>SUM('1Wall#831:248-250W102nd'!W20)</f>
        <v>75139.48</v>
      </c>
      <c r="X20" s="13">
        <f>SUM('1Wall#831:248-250W102nd'!X20)</f>
        <v>114377.74</v>
      </c>
      <c r="Y20" s="13">
        <f>SUM('1Wall#831:248-250W102nd'!Y20)</f>
        <v>100389.19</v>
      </c>
      <c r="Z20" s="13">
        <f>SUM('1Wall#831:248-250W102nd'!Z20)</f>
        <v>94795.48</v>
      </c>
      <c r="AA20" s="13">
        <f>SUM('1Wall#831:248-250W102nd'!AA20)</f>
        <v>111068.25</v>
      </c>
      <c r="AB20" s="13">
        <f>SUM('1Wall#831:248-250W102nd'!AB20)</f>
        <v>91163.11</v>
      </c>
      <c r="AC20" s="13">
        <f>SUM('1Wall#831:248-250W102nd'!AC20)</f>
        <v>11655.42</v>
      </c>
      <c r="AD20" s="13">
        <f>SUM('1Wall#831:248-250W102nd'!AD20)</f>
        <v>2986.16</v>
      </c>
      <c r="AE20" s="13">
        <f>SUM('1Wall#831:248-250W102nd'!AE20)</f>
        <v>0</v>
      </c>
      <c r="AF20" s="13">
        <f>SUM('1Wall#831:248-250W102nd'!AF20)</f>
        <v>0</v>
      </c>
      <c r="AG20" s="19">
        <f>SUM(T20:AF20)</f>
        <v>770032.03</v>
      </c>
    </row>
    <row r="21" spans="1:33">
      <c r="A21" s="12" t="s">
        <v>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3">
      <c r="A22" s="12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3">
      <c r="A24" s="12" t="s">
        <v>23</v>
      </c>
    </row>
    <row r="25" spans="1:33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</row>
    <row r="26" spans="1:33">
      <c r="A26" s="21" t="s">
        <v>0</v>
      </c>
      <c r="B26" s="22">
        <v>2024</v>
      </c>
      <c r="C26" s="5">
        <v>45412</v>
      </c>
      <c r="D26" s="5">
        <v>45443</v>
      </c>
      <c r="E26" s="5">
        <v>45473</v>
      </c>
      <c r="F26" s="5">
        <v>45504</v>
      </c>
      <c r="G26" s="22">
        <v>2025</v>
      </c>
      <c r="H26" s="5">
        <v>45535</v>
      </c>
      <c r="I26" s="5">
        <v>45565</v>
      </c>
      <c r="J26" s="10">
        <v>45596</v>
      </c>
      <c r="K26" s="10">
        <v>45626</v>
      </c>
      <c r="L26" s="10">
        <v>45657</v>
      </c>
      <c r="M26" s="5">
        <v>45688</v>
      </c>
      <c r="N26" s="5">
        <v>45716</v>
      </c>
      <c r="O26" s="5">
        <v>45747</v>
      </c>
      <c r="P26" s="5">
        <v>45777</v>
      </c>
      <c r="Q26" s="5">
        <v>45808</v>
      </c>
      <c r="R26" s="5">
        <v>45838</v>
      </c>
      <c r="S26" s="5">
        <v>45869</v>
      </c>
      <c r="T26" s="22">
        <v>2026</v>
      </c>
      <c r="U26" s="5">
        <v>45900</v>
      </c>
      <c r="V26" s="5">
        <v>45930</v>
      </c>
      <c r="W26" s="10">
        <v>45961</v>
      </c>
      <c r="X26" s="5">
        <v>45991</v>
      </c>
      <c r="Y26" s="5">
        <v>46022</v>
      </c>
      <c r="Z26" s="10">
        <v>46053</v>
      </c>
      <c r="AA26" s="5">
        <v>46081</v>
      </c>
      <c r="AB26" s="5">
        <v>46112</v>
      </c>
      <c r="AC26" s="10">
        <v>46142</v>
      </c>
      <c r="AD26" s="5">
        <v>46173</v>
      </c>
      <c r="AE26" s="5">
        <v>46203</v>
      </c>
      <c r="AF26" s="10">
        <v>46234</v>
      </c>
    </row>
    <row r="27" spans="1:33">
      <c r="A27" s="12" t="s">
        <v>1</v>
      </c>
      <c r="B27" s="6">
        <f>B28*150</f>
        <v>4049634000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3">
      <c r="A28" s="12" t="s">
        <v>2</v>
      </c>
      <c r="B28" s="14">
        <f>SUM('1Wall#831:248-250W102nd'!B28)</f>
        <v>26997560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3">
      <c r="A29" s="12" t="s">
        <v>3</v>
      </c>
      <c r="B29" s="1">
        <f>SUM(B31*B30)</f>
        <v>11733750</v>
      </c>
      <c r="C29" s="1">
        <f t="shared" ref="C29:F29" si="4">SUM(C31*C30)</f>
        <v>0</v>
      </c>
      <c r="D29" s="1">
        <f t="shared" si="4"/>
        <v>103473.47840000001</v>
      </c>
      <c r="E29" s="1">
        <f t="shared" si="4"/>
        <v>729647.1</v>
      </c>
      <c r="F29" s="1">
        <f t="shared" si="4"/>
        <v>1864639.9823999999</v>
      </c>
      <c r="G29" s="1"/>
      <c r="H29" s="1">
        <f t="shared" ref="H29:S29" si="5">SUM(H31*H30)</f>
        <v>2156131.3680000002</v>
      </c>
      <c r="I29" s="1">
        <f t="shared" si="5"/>
        <v>3158809.0127999997</v>
      </c>
      <c r="J29" s="1">
        <f t="shared" si="5"/>
        <v>3858278.3543999996</v>
      </c>
      <c r="K29" s="1">
        <f t="shared" si="5"/>
        <v>4643609.0108000003</v>
      </c>
      <c r="L29" s="1">
        <f t="shared" si="5"/>
        <v>6271974.6165999994</v>
      </c>
      <c r="M29" s="1">
        <f t="shared" si="5"/>
        <v>8600148.0165999997</v>
      </c>
      <c r="N29" s="1">
        <f t="shared" si="5"/>
        <v>10893807.281699998</v>
      </c>
      <c r="O29" s="1">
        <f t="shared" si="5"/>
        <v>9594219.9360000007</v>
      </c>
      <c r="P29" s="1">
        <f t="shared" si="5"/>
        <v>10391116.0767</v>
      </c>
      <c r="Q29" s="1">
        <f t="shared" si="5"/>
        <v>15100448.452600002</v>
      </c>
      <c r="R29" s="1">
        <f t="shared" si="5"/>
        <v>18491428.960200001</v>
      </c>
      <c r="S29" s="1">
        <f t="shared" si="5"/>
        <v>19852788.166499998</v>
      </c>
      <c r="U29" s="1">
        <f t="shared" ref="U29:AF29" si="6">SUM(U31*U30)</f>
        <v>19973368.500799999</v>
      </c>
      <c r="V29" s="1">
        <f t="shared" si="6"/>
        <v>20026064.676000003</v>
      </c>
      <c r="W29" s="1">
        <f t="shared" si="6"/>
        <v>24261206.587000001</v>
      </c>
      <c r="X29" s="1">
        <f t="shared" si="6"/>
        <v>25523643.2163</v>
      </c>
      <c r="Y29" s="1">
        <f t="shared" si="6"/>
        <v>24479746.649599999</v>
      </c>
      <c r="Z29" s="1">
        <f t="shared" si="6"/>
        <v>24411990.3222</v>
      </c>
      <c r="AA29" s="1">
        <f t="shared" si="6"/>
        <v>25966651.104700003</v>
      </c>
      <c r="AB29" s="1">
        <f t="shared" si="6"/>
        <v>23994075.736400001</v>
      </c>
      <c r="AC29" s="1">
        <f t="shared" si="6"/>
        <v>2822863.9999999995</v>
      </c>
      <c r="AD29" s="1">
        <f t="shared" si="6"/>
        <v>0</v>
      </c>
      <c r="AE29" s="1">
        <f t="shared" si="6"/>
        <v>0</v>
      </c>
      <c r="AF29" s="1">
        <f t="shared" si="6"/>
        <v>0</v>
      </c>
    </row>
    <row r="30" spans="1:33">
      <c r="A30" s="12" t="s">
        <v>4</v>
      </c>
      <c r="B30" s="13">
        <v>150</v>
      </c>
      <c r="C30" s="13">
        <v>156.9</v>
      </c>
      <c r="D30" s="13">
        <v>156.74</v>
      </c>
      <c r="E30" s="13">
        <v>161.07</v>
      </c>
      <c r="F30" s="13">
        <v>152.44</v>
      </c>
      <c r="G30" s="13"/>
      <c r="H30" s="13">
        <v>144.80000000000001</v>
      </c>
      <c r="I30" s="13">
        <v>142.72999999999999</v>
      </c>
      <c r="J30" s="13">
        <v>153.63999999999999</v>
      </c>
      <c r="K30" s="13">
        <v>150.74</v>
      </c>
      <c r="L30" s="13">
        <v>158.18</v>
      </c>
      <c r="M30" s="13">
        <v>154.43</v>
      </c>
      <c r="N30" s="13">
        <v>149.66999999999999</v>
      </c>
      <c r="O30" s="13">
        <v>149.52000000000001</v>
      </c>
      <c r="P30" s="13">
        <v>142.57</v>
      </c>
      <c r="Q30" s="13">
        <v>143.87</v>
      </c>
      <c r="R30" s="13">
        <v>144.81</v>
      </c>
      <c r="S30" s="13">
        <v>149.38999999999999</v>
      </c>
      <c r="U30" s="13">
        <v>146.91999999999999</v>
      </c>
      <c r="V30" s="13">
        <v>148.88</v>
      </c>
      <c r="W30" s="13">
        <v>154.1</v>
      </c>
      <c r="X30" s="13">
        <v>156.63</v>
      </c>
      <c r="Y30" s="13">
        <v>156.56</v>
      </c>
      <c r="Z30" s="13">
        <v>153.66</v>
      </c>
      <c r="AA30" s="13">
        <v>155.81</v>
      </c>
      <c r="AB30" s="13">
        <v>159.88</v>
      </c>
      <c r="AC30" s="13">
        <v>160.38999999999999</v>
      </c>
      <c r="AD30" s="13"/>
      <c r="AE30" s="13"/>
      <c r="AF30" s="13"/>
      <c r="AG30" t="s">
        <v>5</v>
      </c>
    </row>
    <row r="31" spans="1:33">
      <c r="A31" s="12" t="s">
        <v>6</v>
      </c>
      <c r="B31" s="13">
        <f>SUM('1Wall#831:248-250W102nd'!B31)</f>
        <v>78225</v>
      </c>
      <c r="C31" s="13">
        <f>SUM('1Wall#831:248-250W102nd'!C31)</f>
        <v>0</v>
      </c>
      <c r="D31" s="13">
        <f>SUM('1Wall#831:248-250W102nd'!D31)</f>
        <v>660.16</v>
      </c>
      <c r="E31" s="13">
        <f>SUM('1Wall#831:248-250W102nd'!E31)</f>
        <v>4530</v>
      </c>
      <c r="F31" s="13">
        <f>SUM('1Wall#831:248-250W102nd'!F31)</f>
        <v>12231.96</v>
      </c>
      <c r="G31" s="13"/>
      <c r="H31" s="13">
        <f>SUM('1Wall#831:248-250W102nd'!H31)</f>
        <v>14890.41</v>
      </c>
      <c r="I31" s="13">
        <f>SUM('1Wall#831:248-250W102nd'!I31)</f>
        <v>22131.360000000001</v>
      </c>
      <c r="J31" s="13">
        <f>SUM('1Wall#831:248-250W102nd'!J31)</f>
        <v>25112.46</v>
      </c>
      <c r="K31" s="13">
        <f>SUM('1Wall#831:248-250W102nd'!K31)</f>
        <v>30805.42</v>
      </c>
      <c r="L31" s="13">
        <f>SUM('1Wall#831:248-250W102nd'!L31)</f>
        <v>39650.869999999995</v>
      </c>
      <c r="M31" s="13">
        <f>SUM('1Wall#831:248-250W102nd'!M31)</f>
        <v>55689.619999999995</v>
      </c>
      <c r="N31" s="13">
        <f>SUM('1Wall#831:248-250W102nd'!N31)</f>
        <v>72785.509999999995</v>
      </c>
      <c r="O31" s="13">
        <f>SUM('1Wall#831:248-250W102nd'!O31)</f>
        <v>64166.8</v>
      </c>
      <c r="P31" s="13">
        <f>SUM('1Wall#831:248-250W102nd'!P31)</f>
        <v>72884.31</v>
      </c>
      <c r="Q31" s="13">
        <f>SUM('1Wall#831:248-250W102nd'!Q31)</f>
        <v>104958.98000000001</v>
      </c>
      <c r="R31" s="13">
        <f>SUM('1Wall#831:248-250W102nd'!R31)</f>
        <v>127694.42000000001</v>
      </c>
      <c r="S31" s="13">
        <f>SUM('1Wall#831:248-250W102nd'!S31)</f>
        <v>132892.35</v>
      </c>
      <c r="T31" s="13"/>
      <c r="U31" s="13">
        <f>SUM('1Wall#831:248-250W102nd'!U31)</f>
        <v>135947.24</v>
      </c>
      <c r="V31" s="13">
        <f>SUM('1Wall#831:248-250W102nd'!V31)</f>
        <v>134511.45000000001</v>
      </c>
      <c r="W31" s="13">
        <f>SUM('1Wall#831:248-250W102nd'!W31)</f>
        <v>157438.07</v>
      </c>
      <c r="X31" s="13">
        <f>SUM('1Wall#831:248-250W102nd'!X31)</f>
        <v>162955.01</v>
      </c>
      <c r="Y31" s="13">
        <f>SUM('1Wall#831:248-250W102nd'!Y31)</f>
        <v>156360.16</v>
      </c>
      <c r="Z31" s="13">
        <f>SUM('1Wall#831:248-250W102nd'!Z31)</f>
        <v>158870.17000000001</v>
      </c>
      <c r="AA31" s="13">
        <f>SUM('1Wall#831:248-250W102nd'!AA31)</f>
        <v>166655.87000000002</v>
      </c>
      <c r="AB31" s="13">
        <f>SUM('1Wall#831:248-250W102nd'!AB31)</f>
        <v>150075.53</v>
      </c>
      <c r="AC31" s="13">
        <f>SUM('1Wall#831:248-250W102nd'!AC31)</f>
        <v>17600</v>
      </c>
      <c r="AD31" s="13">
        <f>SUM('1Wall#831:248-250W102nd'!AD31)</f>
        <v>4350</v>
      </c>
      <c r="AE31" s="13">
        <f>SUM('1Wall#831:248-250W102nd'!AE31)</f>
        <v>0</v>
      </c>
      <c r="AF31" s="13">
        <f>SUM('1Wall#831:248-250W102nd'!AF31)</f>
        <v>0</v>
      </c>
    </row>
    <row r="32" spans="1:33">
      <c r="A32" s="12" t="s">
        <v>7</v>
      </c>
      <c r="B32" s="11">
        <f>SUM('1Wall#831:248-250W102nd'!B32)</f>
        <v>3059113726</v>
      </c>
      <c r="C32" s="11">
        <f>SUM('1Wall#831:248-250W102nd'!C32)</f>
        <v>3668273</v>
      </c>
      <c r="D32" s="11">
        <f>SUM('1Wall#831:248-250W102nd'!D32)</f>
        <v>4938140</v>
      </c>
      <c r="E32" s="11">
        <f>SUM('1Wall#831:248-250W102nd'!E32)</f>
        <v>4938140</v>
      </c>
      <c r="F32" s="11">
        <f>SUM('1Wall#831:248-250W102nd'!F32)</f>
        <v>6177180</v>
      </c>
      <c r="G32" s="11"/>
      <c r="H32" s="11">
        <f>SUM('1Wall#831:248-250W102nd'!H32)</f>
        <v>6177172</v>
      </c>
      <c r="I32" s="11">
        <f>SUM('1Wall#831:248-250W102nd'!I32)</f>
        <v>8862692</v>
      </c>
      <c r="J32" s="11">
        <f>SUM('1Wall#831:248-250W102nd'!J32)</f>
        <v>8862692</v>
      </c>
      <c r="K32" s="11">
        <f>SUM('1Wall#831:248-250W102nd'!K32)</f>
        <v>10536573</v>
      </c>
      <c r="L32" s="11">
        <f>SUM('1Wall#831:248-250W102nd'!L32)</f>
        <v>11807263</v>
      </c>
      <c r="M32" s="11">
        <f>SUM('1Wall#831:248-250W102nd'!M32)</f>
        <v>28855758</v>
      </c>
      <c r="N32" s="11">
        <f>SUM('1Wall#831:248-250W102nd'!N32)</f>
        <v>28855724</v>
      </c>
      <c r="O32" s="11">
        <f>SUM('1Wall#831:248-250W102nd'!O32)</f>
        <v>28855724</v>
      </c>
      <c r="P32" s="11">
        <f>SUM('1Wall#831:248-250W102nd'!P32)</f>
        <v>28855724</v>
      </c>
      <c r="Q32" s="11">
        <f>SUM('1Wall#831:248-250W102nd'!Q32)</f>
        <v>40483088</v>
      </c>
      <c r="R32" s="11">
        <f>SUM('1Wall#831:248-250W102nd'!R32)</f>
        <v>40483088</v>
      </c>
      <c r="S32" s="11">
        <f>SUM('1Wall#831:248-250W102nd'!S32)</f>
        <v>40483129</v>
      </c>
      <c r="T32" s="11"/>
      <c r="U32" s="11">
        <f>SUM('1Wall#831:248-250W102nd'!U32)</f>
        <v>46486085</v>
      </c>
      <c r="V32" s="11">
        <f>SUM('1Wall#831:248-250W102nd'!V32)</f>
        <v>46486085</v>
      </c>
      <c r="W32" s="11">
        <f>SUM('1Wall#831:248-250W102nd'!W32)</f>
        <v>46486085</v>
      </c>
      <c r="X32" s="11">
        <f>SUM('1Wall#831:248-250W102nd'!X32)</f>
        <v>46486085</v>
      </c>
      <c r="Y32" s="11">
        <f>SUM('1Wall#831:248-250W102nd'!Y32)</f>
        <v>46486085</v>
      </c>
      <c r="Z32" s="11">
        <f>SUM('1Wall#831:248-250W102nd'!Z32)</f>
        <v>46486139</v>
      </c>
      <c r="AA32" s="11">
        <f>SUM('1Wall#831:248-250W102nd'!AA32)</f>
        <v>46486085</v>
      </c>
      <c r="AB32" s="11">
        <f>SUM('1Wall#831:248-250W102nd'!AB32)</f>
        <v>46486085</v>
      </c>
      <c r="AC32" s="11">
        <f>SUM('1Wall#831:248-250W102nd'!AC32)</f>
        <v>46486085</v>
      </c>
      <c r="AD32" s="11">
        <f>SUM('1Wall#831:248-250W102nd'!AD32)</f>
        <v>46486085</v>
      </c>
      <c r="AE32" s="11">
        <f>SUM('1Wall#831:248-250W102nd'!AE32)</f>
        <v>46486085</v>
      </c>
      <c r="AF32" s="11">
        <f>SUM('1Wall#831:248-250W102nd'!AF32)</f>
        <v>46486149</v>
      </c>
    </row>
    <row r="33" spans="1:33">
      <c r="A33" s="12" t="s">
        <v>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1:33">
      <c r="A34" s="12" t="s">
        <v>9</v>
      </c>
      <c r="B34" s="1">
        <f>SUM('1Wall#831:248-250W102nd'!B34)</f>
        <v>3056520279</v>
      </c>
      <c r="C34" s="1">
        <f>SUM('1Wall#831:248-250W102nd'!C34)</f>
        <v>386767709</v>
      </c>
      <c r="D34" s="1">
        <f>SUM('1Wall#831:248-250W102nd'!D34)</f>
        <v>517886837</v>
      </c>
      <c r="E34" s="1">
        <f>SUM('1Wall#831:248-250W102nd'!E34)</f>
        <v>512948697</v>
      </c>
      <c r="F34" s="1">
        <f>SUM('1Wall#831:248-250W102nd'!F34)</f>
        <v>639525030</v>
      </c>
      <c r="G34" s="1"/>
      <c r="H34" s="1">
        <f>SUM('1Wall#831:248-250W102nd'!H34)</f>
        <v>633347858</v>
      </c>
      <c r="I34" s="1">
        <f>SUM('1Wall#831:248-250W102nd'!I34)</f>
        <v>912219591</v>
      </c>
      <c r="J34" s="1">
        <f>SUM('1Wall#831:248-250W102nd'!J34)</f>
        <v>903356899</v>
      </c>
      <c r="K34" s="1">
        <f>SUM('1Wall#831:248-250W102nd'!K34)</f>
        <v>1072164906</v>
      </c>
      <c r="L34" s="1">
        <f>SUM('1Wall#831:248-250W102nd'!L34)</f>
        <v>1196503072</v>
      </c>
      <c r="M34" s="1">
        <f>SUM('1Wall#831:248-250W102nd'!M34)</f>
        <v>1985973482</v>
      </c>
      <c r="N34" s="1">
        <f>SUM('1Wall#831:248-250W102nd'!N34)</f>
        <v>1957117758</v>
      </c>
      <c r="O34" s="1">
        <f>SUM('1Wall#831:248-250W102nd'!O34)</f>
        <v>1928262034</v>
      </c>
      <c r="P34" s="1">
        <f>SUM('1Wall#831:248-250W102nd'!P34)</f>
        <v>1899406310</v>
      </c>
      <c r="Q34" s="1">
        <f>SUM('1Wall#831:248-250W102nd'!Q34)</f>
        <v>2834646136</v>
      </c>
      <c r="R34" s="1">
        <f>SUM('1Wall#831:248-250W102nd'!R34)</f>
        <v>2794163048</v>
      </c>
      <c r="S34" s="1">
        <f>SUM('1Wall#831:248-250W102nd'!S34)</f>
        <v>3147295398</v>
      </c>
      <c r="T34" s="1"/>
      <c r="U34" s="1">
        <f>SUM('1Wall#831:248-250W102nd'!U34)</f>
        <v>3100809313</v>
      </c>
      <c r="V34" s="1">
        <f>SUM('1Wall#831:248-250W102nd'!V34)</f>
        <v>3054323228</v>
      </c>
      <c r="W34" s="1">
        <f>SUM('1Wall#831:248-250W102nd'!W34)</f>
        <v>3007837143</v>
      </c>
      <c r="X34" s="1">
        <f>SUM('1Wall#831:248-250W102nd'!X34)</f>
        <v>2961351058</v>
      </c>
      <c r="Y34" s="1">
        <f>SUM('1Wall#831:248-250W102nd'!Y34)</f>
        <v>2914864973</v>
      </c>
      <c r="Z34" s="1">
        <f>SUM('1Wall#831:248-250W102nd'!Z34)</f>
        <v>2868378834</v>
      </c>
      <c r="AA34" s="1">
        <f>SUM('1Wall#831:248-250W102nd'!AA34)</f>
        <v>2821892749</v>
      </c>
      <c r="AB34" s="1">
        <f>SUM('1Wall#831:248-250W102nd'!AB34)</f>
        <v>2775406664</v>
      </c>
      <c r="AC34" s="1">
        <f>SUM('1Wall#831:248-250W102nd'!AC34)</f>
        <v>2728920579</v>
      </c>
      <c r="AD34" s="1">
        <f>SUM('1Wall#831:248-250W102nd'!AD34)</f>
        <v>2682434494</v>
      </c>
      <c r="AE34" s="1">
        <f>SUM('1Wall#831:248-250W102nd'!AE34)</f>
        <v>2635948409</v>
      </c>
      <c r="AF34" s="1">
        <f>SUM('1Wall#831:248-250W102nd'!AF34)</f>
        <v>2589462260</v>
      </c>
    </row>
    <row r="35" spans="1:33">
      <c r="A35" s="12" t="s">
        <v>10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3">
      <c r="A36" s="12" t="s">
        <v>11</v>
      </c>
      <c r="B36" s="13"/>
      <c r="C36" s="13">
        <f>SUM('1Wall#831:248-250W102nd'!C36)</f>
        <v>1263.27</v>
      </c>
      <c r="D36" s="13">
        <f>SUM('1Wall#831:248-250W102nd'!D36)</f>
        <v>300</v>
      </c>
      <c r="E36" s="13">
        <f>SUM('1Wall#831:248-250W102nd'!E36)</f>
        <v>300</v>
      </c>
      <c r="F36" s="13">
        <f>SUM('1Wall#831:248-250W102nd'!F36)</f>
        <v>1228</v>
      </c>
      <c r="G36" s="13"/>
      <c r="H36" s="13">
        <f>SUM('1Wall#831:248-250W102nd'!H36)</f>
        <v>6944</v>
      </c>
      <c r="I36" s="13">
        <f>SUM('1Wall#831:248-250W102nd'!I36)</f>
        <v>8024.5</v>
      </c>
      <c r="J36" s="13">
        <f>SUM('1Wall#831:248-250W102nd'!J36)</f>
        <v>3140.45</v>
      </c>
      <c r="K36" s="13">
        <f>SUM('1Wall#831:248-250W102nd'!K36)</f>
        <v>14560.220000000001</v>
      </c>
      <c r="L36" s="13">
        <f>SUM('1Wall#831:248-250W102nd'!L36)</f>
        <v>3080.66</v>
      </c>
      <c r="M36" s="13">
        <f>SUM('1Wall#831:248-250W102nd'!M36)</f>
        <v>3949.2</v>
      </c>
      <c r="N36" s="13">
        <f>SUM('1Wall#831:248-250W102nd'!N36)</f>
        <v>4685.5</v>
      </c>
      <c r="O36" s="13">
        <f>SUM('1Wall#831:248-250W102nd'!O36)</f>
        <v>4487.5</v>
      </c>
      <c r="P36" s="13">
        <f>SUM('1Wall#831:248-250W102nd'!P36)</f>
        <v>4799.5</v>
      </c>
      <c r="Q36" s="13">
        <f>SUM('1Wall#831:248-250W102nd'!Q36)</f>
        <v>6106.99</v>
      </c>
      <c r="R36" s="13">
        <f>SUM('1Wall#831:248-250W102nd'!R36)</f>
        <v>7389.77</v>
      </c>
      <c r="S36" s="13">
        <f>SUM('1Wall#831:248-250W102nd'!S36)</f>
        <v>7972.87</v>
      </c>
      <c r="T36" s="13"/>
      <c r="U36" s="13">
        <f>SUM('1Wall#831:248-250W102nd'!U36)</f>
        <v>8011.55</v>
      </c>
      <c r="V36" s="13">
        <f>SUM('1Wall#831:248-250W102nd'!V36)</f>
        <v>7939.96</v>
      </c>
      <c r="W36" s="13">
        <f>SUM('1Wall#831:248-250W102nd'!W36)</f>
        <v>9416.4</v>
      </c>
      <c r="X36" s="13">
        <f>SUM('1Wall#831:248-250W102nd'!X36)</f>
        <v>9401.9599999999991</v>
      </c>
      <c r="Y36" s="13">
        <f>SUM('1Wall#831:248-250W102nd'!Y36)</f>
        <v>7783.89</v>
      </c>
      <c r="Z36" s="13">
        <f>SUM('1Wall#831:248-250W102nd'!Z36)</f>
        <v>9363.119999999999</v>
      </c>
      <c r="AA36" s="13">
        <f>SUM('1Wall#831:248-250W102nd'!AA36)</f>
        <v>9482.16</v>
      </c>
      <c r="AB36" s="13">
        <f>SUM('1Wall#831:248-250W102nd'!AB36)</f>
        <v>8921.869999999999</v>
      </c>
      <c r="AC36" s="13">
        <f>SUM('1Wall#831:248-250W102nd'!AC36)</f>
        <v>1056</v>
      </c>
      <c r="AD36" s="13">
        <f>SUM('1Wall#831:248-250W102nd'!AD36)</f>
        <v>261</v>
      </c>
      <c r="AE36" s="13">
        <f>SUM('1Wall#831:248-250W102nd'!AE36)</f>
        <v>0</v>
      </c>
      <c r="AF36" s="13">
        <f>SUM('1Wall#831:248-250W102nd'!AF36)</f>
        <v>0</v>
      </c>
    </row>
    <row r="37" spans="1:33">
      <c r="A37" s="12" t="s">
        <v>12</v>
      </c>
      <c r="B37" s="13"/>
      <c r="C37" s="13">
        <f>SUM('1Wall#831:248-250W102nd'!C37)</f>
        <v>2980.3599999999997</v>
      </c>
      <c r="D37" s="13">
        <f>SUM('1Wall#831:248-250W102nd'!D37)</f>
        <v>15580.58</v>
      </c>
      <c r="E37" s="13">
        <f>SUM('1Wall#831:248-250W102nd'!E37)</f>
        <v>7073.44</v>
      </c>
      <c r="F37" s="13">
        <f>SUM('1Wall#831:248-250W102nd'!F37)</f>
        <v>12751.979999999998</v>
      </c>
      <c r="G37" s="13"/>
      <c r="H37" s="13">
        <f>SUM('1Wall#831:248-250W102nd'!H37)</f>
        <v>14897.95</v>
      </c>
      <c r="I37" s="13">
        <f>SUM('1Wall#831:248-250W102nd'!I37)</f>
        <v>11965.039999999999</v>
      </c>
      <c r="J37" s="13">
        <f>SUM('1Wall#831:248-250W102nd'!J37)</f>
        <v>19778.43</v>
      </c>
      <c r="K37" s="13">
        <f>SUM('1Wall#831:248-250W102nd'!K37)</f>
        <v>22620.559999999998</v>
      </c>
      <c r="L37" s="13">
        <f>SUM('1Wall#831:248-250W102nd'!L37)</f>
        <v>28493.850000000002</v>
      </c>
      <c r="M37" s="13">
        <f>SUM('1Wall#831:248-250W102nd'!M37)</f>
        <v>21680.71</v>
      </c>
      <c r="N37" s="13">
        <f>SUM('1Wall#831:248-250W102nd'!N37)</f>
        <v>34760.479999999996</v>
      </c>
      <c r="O37" s="13">
        <f>SUM('1Wall#831:248-250W102nd'!O37)</f>
        <v>36877.950000000004</v>
      </c>
      <c r="P37" s="13">
        <f>SUM('1Wall#831:248-250W102nd'!P37)</f>
        <v>38409.14</v>
      </c>
      <c r="Q37" s="13">
        <f>SUM('1Wall#831:248-250W102nd'!Q37)</f>
        <v>23630.829999999994</v>
      </c>
      <c r="R37" s="13">
        <f>SUM('1Wall#831:248-250W102nd'!R37)</f>
        <v>82879.51999999999</v>
      </c>
      <c r="S37" s="13">
        <f>SUM('1Wall#831:248-250W102nd'!S37)</f>
        <v>60431.17</v>
      </c>
      <c r="T37" s="13"/>
      <c r="U37" s="13">
        <f>SUM('1Wall#831:248-250W102nd'!U37)</f>
        <v>76664.81</v>
      </c>
      <c r="V37" s="13">
        <f>SUM('1Wall#831:248-250W102nd'!V37)</f>
        <v>84221.849999999991</v>
      </c>
      <c r="W37" s="13">
        <f>SUM('1Wall#831:248-250W102nd'!W37)</f>
        <v>95828.079999999987</v>
      </c>
      <c r="X37" s="13">
        <f>SUM('1Wall#831:248-250W102nd'!X37)</f>
        <v>62121.189999999995</v>
      </c>
      <c r="Y37" s="13">
        <f>SUM('1Wall#831:248-250W102nd'!Y37)</f>
        <v>63836.759999999995</v>
      </c>
      <c r="Z37" s="13">
        <f>SUM('1Wall#831:248-250W102nd'!Z37)</f>
        <v>79116.69</v>
      </c>
      <c r="AA37" s="13">
        <f>SUM('1Wall#831:248-250W102nd'!AA37)</f>
        <v>70510.58</v>
      </c>
      <c r="AB37" s="13">
        <f>SUM('1Wall#831:248-250W102nd'!AB37)</f>
        <v>27180.350000000002</v>
      </c>
      <c r="AC37" s="13">
        <f>SUM('1Wall#831:248-250W102nd'!AC37)</f>
        <v>24405.120000000003</v>
      </c>
      <c r="AD37" s="13">
        <f>SUM('1Wall#831:248-250W102nd'!AD37)</f>
        <v>24405.120000000003</v>
      </c>
      <c r="AE37" s="13">
        <f>SUM('1Wall#831:248-250W102nd'!AE37)</f>
        <v>9959.48</v>
      </c>
      <c r="AF37" s="13">
        <f>SUM('1Wall#831:248-250W102nd'!AF37)</f>
        <v>0</v>
      </c>
    </row>
    <row r="38" spans="1:33">
      <c r="A38" s="12" t="s">
        <v>13</v>
      </c>
      <c r="B38" s="1"/>
      <c r="C38" s="16"/>
      <c r="D38" s="16"/>
      <c r="E38" s="16"/>
      <c r="F38" s="16"/>
      <c r="G38" s="1"/>
      <c r="H38" s="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U38" s="16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3">
      <c r="A39" s="12" t="s">
        <v>14</v>
      </c>
      <c r="B39" s="1"/>
      <c r="C39" s="16"/>
      <c r="D39" s="16"/>
      <c r="E39" s="16"/>
      <c r="F39" s="16"/>
      <c r="G39" s="1"/>
      <c r="H39" s="1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U39" s="16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3">
      <c r="A40" s="12" t="s">
        <v>15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3">
      <c r="A41" s="12" t="s">
        <v>16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3">
      <c r="A42" s="12" t="s">
        <v>17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3">
      <c r="A43" s="12" t="s">
        <v>18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3">
      <c r="A44" s="12" t="s">
        <v>19</v>
      </c>
      <c r="B44" s="1"/>
      <c r="C44" s="1">
        <f>SUM(C30*C45)</f>
        <v>-665825.54700000002</v>
      </c>
      <c r="D44" s="1">
        <f t="shared" ref="D44:F44" si="7">SUM(D30*D45)</f>
        <v>-2385648.6307999999</v>
      </c>
      <c r="E44" s="1">
        <f t="shared" si="7"/>
        <v>-457992.88079999993</v>
      </c>
      <c r="F44" s="1">
        <f t="shared" si="7"/>
        <v>-266468.16880000004</v>
      </c>
      <c r="G44" s="18">
        <f>SUM(C44:F44)</f>
        <v>-3775935.2273999997</v>
      </c>
      <c r="H44" s="1">
        <f t="shared" ref="H44:S44" si="8">SUM(H30*H45)</f>
        <v>-1006582.9920000002</v>
      </c>
      <c r="I44" s="1">
        <f t="shared" si="8"/>
        <v>305701.96859999996</v>
      </c>
      <c r="J44" s="1">
        <f t="shared" si="8"/>
        <v>337021.63119999995</v>
      </c>
      <c r="K44" s="1">
        <f t="shared" si="8"/>
        <v>-961021.76640000066</v>
      </c>
      <c r="L44" s="1">
        <f t="shared" si="8"/>
        <v>1277518.6247999996</v>
      </c>
      <c r="M44" s="1">
        <f t="shared" si="8"/>
        <v>4642121.0153000001</v>
      </c>
      <c r="N44" s="1">
        <f t="shared" si="8"/>
        <v>4989927.455099999</v>
      </c>
      <c r="O44" s="1">
        <f t="shared" si="8"/>
        <v>3409257.852</v>
      </c>
      <c r="P44" s="1">
        <f t="shared" si="8"/>
        <v>4230860.2719000001</v>
      </c>
      <c r="Q44" s="1">
        <f t="shared" si="8"/>
        <v>10822068.2892</v>
      </c>
      <c r="R44" s="1">
        <f t="shared" si="8"/>
        <v>5419533.0752999997</v>
      </c>
      <c r="S44" s="1">
        <f t="shared" si="8"/>
        <v>9633908.6308999993</v>
      </c>
      <c r="T44" s="20">
        <f>SUM(G44:S44)</f>
        <v>39324378.828500003</v>
      </c>
      <c r="U44" s="1">
        <f t="shared" ref="U44:AF44" si="9">SUM(U30*U45)</f>
        <v>7532717.6895999992</v>
      </c>
      <c r="V44" s="1">
        <f t="shared" si="9"/>
        <v>6305014.4031999996</v>
      </c>
      <c r="W44" s="1">
        <f t="shared" si="9"/>
        <v>8043032.2189999996</v>
      </c>
      <c r="X44" s="1">
        <f t="shared" si="9"/>
        <v>14320972.231800001</v>
      </c>
      <c r="Y44" s="1">
        <f t="shared" si="9"/>
        <v>13266817.685600001</v>
      </c>
      <c r="Z44" s="1">
        <f t="shared" si="9"/>
        <v>10816182.717599999</v>
      </c>
      <c r="AA44" s="1">
        <f t="shared" si="9"/>
        <v>13502982.285300003</v>
      </c>
      <c r="AB44" s="1">
        <f t="shared" si="9"/>
        <v>18222052.8028</v>
      </c>
      <c r="AC44" s="1">
        <f t="shared" si="9"/>
        <v>-1260845.0367999999</v>
      </c>
      <c r="AD44" s="1">
        <f t="shared" si="9"/>
        <v>0</v>
      </c>
      <c r="AE44" s="1">
        <f t="shared" si="9"/>
        <v>0</v>
      </c>
      <c r="AF44" s="1">
        <f t="shared" si="9"/>
        <v>0</v>
      </c>
      <c r="AG44" s="20">
        <f>SUM(T44:AF44)</f>
        <v>130073305.8266</v>
      </c>
    </row>
    <row r="45" spans="1:33">
      <c r="A45" s="12" t="s">
        <v>20</v>
      </c>
      <c r="B45" s="13"/>
      <c r="C45" s="13">
        <f>SUM('1Wall#831:248-250W102nd'!C45)</f>
        <v>-4243.63</v>
      </c>
      <c r="D45" s="13">
        <f>SUM('1Wall#831:248-250W102nd'!D45)</f>
        <v>-15220.42</v>
      </c>
      <c r="E45" s="13">
        <f>SUM('1Wall#831:248-250W102nd'!E45)</f>
        <v>-2843.4399999999996</v>
      </c>
      <c r="F45" s="13">
        <f>SUM('1Wall#831:248-250W102nd'!F45)</f>
        <v>-1748.0200000000004</v>
      </c>
      <c r="G45" s="17">
        <f>SUM(C45:F45)</f>
        <v>-24055.51</v>
      </c>
      <c r="H45" s="13">
        <f>SUM('1Wall#831:248-250W102nd'!H45)</f>
        <v>-6951.5400000000009</v>
      </c>
      <c r="I45" s="13">
        <f>SUM('1Wall#831:248-250W102nd'!I45)</f>
        <v>2141.8199999999997</v>
      </c>
      <c r="J45" s="13">
        <f>SUM('1Wall#831:248-250W102nd'!J45)</f>
        <v>2193.58</v>
      </c>
      <c r="K45" s="13">
        <f>SUM('1Wall#831:248-250W102nd'!K45)</f>
        <v>-6375.3600000000042</v>
      </c>
      <c r="L45" s="13">
        <f>SUM('1Wall#831:248-250W102nd'!L45)</f>
        <v>8076.3599999999969</v>
      </c>
      <c r="M45" s="13">
        <f>SUM('1Wall#831:248-250W102nd'!M45)</f>
        <v>30059.71</v>
      </c>
      <c r="N45" s="13">
        <f>SUM('1Wall#831:248-250W102nd'!N45)</f>
        <v>33339.53</v>
      </c>
      <c r="O45" s="13">
        <f>SUM('1Wall#831:248-250W102nd'!O45)</f>
        <v>22801.35</v>
      </c>
      <c r="P45" s="13">
        <f>SUM('1Wall#831:248-250W102nd'!P45)</f>
        <v>29675.670000000002</v>
      </c>
      <c r="Q45" s="13">
        <f>SUM('1Wall#831:248-250W102nd'!Q45)</f>
        <v>75221.16</v>
      </c>
      <c r="R45" s="13">
        <f>SUM('1Wall#831:248-250W102nd'!R45)</f>
        <v>37425.129999999997</v>
      </c>
      <c r="S45" s="13">
        <f>SUM('1Wall#831:248-250W102nd'!S45)</f>
        <v>64488.31</v>
      </c>
      <c r="T45" s="19">
        <f>SUM(G45:S45)</f>
        <v>268040.20999999996</v>
      </c>
      <c r="U45" s="13">
        <f>SUM('1Wall#831:248-250W102nd'!U45)</f>
        <v>51270.879999999997</v>
      </c>
      <c r="V45" s="13">
        <f>SUM('1Wall#831:248-250W102nd'!V45)</f>
        <v>42349.64</v>
      </c>
      <c r="W45" s="13">
        <f>SUM('1Wall#831:248-250W102nd'!W45)</f>
        <v>52193.59</v>
      </c>
      <c r="X45" s="13">
        <f>SUM('1Wall#831:248-250W102nd'!X45)</f>
        <v>91431.860000000015</v>
      </c>
      <c r="Y45" s="13">
        <f>SUM('1Wall#831:248-250W102nd'!Y45)</f>
        <v>84739.510000000009</v>
      </c>
      <c r="Z45" s="13">
        <f>SUM('1Wall#831:248-250W102nd'!Z45)</f>
        <v>70390.36</v>
      </c>
      <c r="AA45" s="13">
        <f>SUM('1Wall#831:248-250W102nd'!AA45)</f>
        <v>86663.130000000019</v>
      </c>
      <c r="AB45" s="13">
        <f>SUM('1Wall#831:248-250W102nd'!AB45)</f>
        <v>113973.31</v>
      </c>
      <c r="AC45" s="13">
        <f>SUM('1Wall#831:248-250W102nd'!AC45)</f>
        <v>-7861.12</v>
      </c>
      <c r="AD45" s="13">
        <f>SUM('1Wall#831:248-250W102nd'!AD45)</f>
        <v>-20316.120000000003</v>
      </c>
      <c r="AE45" s="13">
        <f>SUM('1Wall#831:248-250W102nd'!AE45)</f>
        <v>-9959.48</v>
      </c>
      <c r="AF45" s="13">
        <f>SUM('1Wall#831:248-250W102nd'!AF45)</f>
        <v>0</v>
      </c>
      <c r="AG45" s="19">
        <f>SUM(T45:AF45)</f>
        <v>822915.77</v>
      </c>
    </row>
    <row r="46" spans="1:33">
      <c r="A46" s="12" t="s">
        <v>21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3">
      <c r="A47" s="12" t="s">
        <v>22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</sheetData>
  <phoneticPr fontId="2"/>
  <pageMargins left="0.7" right="0.7" top="0.75" bottom="0.75" header="0.3" footer="0.3"/>
  <ignoredErrors>
    <ignoredError sqref="G19 G44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13A0-4BC8-4A82-AE80-67E4E59C7663}">
  <dimension ref="A1:AH65"/>
  <sheetViews>
    <sheetView zoomScale="90" zoomScaleNormal="90" workbookViewId="0">
      <pane xSplit="1" ySplit="1" topLeftCell="U2" activePane="bottomRight" state="frozen"/>
      <selection pane="bottomRight" activeCell="AB37" sqref="AB37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4.75" bestFit="1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32" width="11.5" bestFit="1" customWidth="1"/>
    <col min="33" max="33" width="9.375" bestFit="1" customWidth="1"/>
  </cols>
  <sheetData>
    <row r="1" spans="1:34">
      <c r="A1" s="23" t="s">
        <v>25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B3*B5</f>
        <v>210000000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1400000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4">
      <c r="A4" s="12" t="s">
        <v>3</v>
      </c>
      <c r="B4" s="24">
        <f>B6*B5</f>
        <v>975000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4573.2</v>
      </c>
      <c r="G4" s="24"/>
      <c r="H4" s="24">
        <f t="shared" ref="H4:S4" si="0">H5*H6</f>
        <v>0</v>
      </c>
      <c r="I4" s="24">
        <f t="shared" si="0"/>
        <v>465493.91279999999</v>
      </c>
      <c r="J4" s="24">
        <f t="shared" si="0"/>
        <v>952567.99999999988</v>
      </c>
      <c r="K4" s="24">
        <f t="shared" si="0"/>
        <v>934588</v>
      </c>
      <c r="L4" s="24">
        <f t="shared" si="0"/>
        <v>980716</v>
      </c>
      <c r="M4" s="24">
        <f t="shared" si="0"/>
        <v>957466</v>
      </c>
      <c r="N4" s="24">
        <f t="shared" si="0"/>
        <v>927953.99999999988</v>
      </c>
      <c r="O4" s="24">
        <f t="shared" si="0"/>
        <v>927024.00000000012</v>
      </c>
      <c r="P4" s="24">
        <f t="shared" si="0"/>
        <v>1076386.3916</v>
      </c>
      <c r="Q4" s="24">
        <f t="shared" si="0"/>
        <v>913591.76439999999</v>
      </c>
      <c r="R4" s="24">
        <f t="shared" si="0"/>
        <v>897822</v>
      </c>
      <c r="S4" s="24">
        <f t="shared" si="0"/>
        <v>926217.99999999988</v>
      </c>
      <c r="T4" s="24"/>
      <c r="U4" s="24">
        <f t="shared" ref="U4:AF4" si="1">U5*U6</f>
        <v>718739.98599999992</v>
      </c>
      <c r="V4" s="24">
        <f t="shared" si="1"/>
        <v>316228.56400000001</v>
      </c>
      <c r="W4" s="24">
        <f t="shared" si="1"/>
        <v>395170.95799999998</v>
      </c>
      <c r="X4" s="24">
        <f t="shared" si="1"/>
        <v>1020444.45</v>
      </c>
      <c r="Y4" s="24">
        <f t="shared" si="1"/>
        <v>1017640</v>
      </c>
      <c r="Z4" s="24">
        <f t="shared" si="1"/>
        <v>998790</v>
      </c>
      <c r="AA4" s="24">
        <f t="shared" si="1"/>
        <v>1012765</v>
      </c>
      <c r="AB4" s="24">
        <f t="shared" si="1"/>
        <v>1039220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6500</v>
      </c>
      <c r="C6" s="26">
        <v>0</v>
      </c>
      <c r="D6" s="26">
        <v>0</v>
      </c>
      <c r="E6" s="26">
        <v>0</v>
      </c>
      <c r="F6" s="26">
        <v>30</v>
      </c>
      <c r="G6" s="24"/>
      <c r="H6" s="26">
        <v>0</v>
      </c>
      <c r="I6" s="26">
        <v>3261.36</v>
      </c>
      <c r="J6" s="26">
        <v>6200</v>
      </c>
      <c r="K6" s="26">
        <v>6200</v>
      </c>
      <c r="L6" s="26">
        <v>6200</v>
      </c>
      <c r="M6" s="26">
        <v>6200</v>
      </c>
      <c r="N6" s="26">
        <v>6200</v>
      </c>
      <c r="O6" s="26">
        <v>6200</v>
      </c>
      <c r="P6" s="26">
        <v>7549.88</v>
      </c>
      <c r="Q6" s="26">
        <v>6350.12</v>
      </c>
      <c r="R6" s="26">
        <v>6200</v>
      </c>
      <c r="S6" s="26">
        <v>6200</v>
      </c>
      <c r="T6" s="24"/>
      <c r="U6" s="26">
        <v>4892.05</v>
      </c>
      <c r="V6" s="26">
        <v>2124.0500000000002</v>
      </c>
      <c r="W6" s="26">
        <v>2564.38</v>
      </c>
      <c r="X6" s="26">
        <v>6515</v>
      </c>
      <c r="Y6" s="26">
        <v>6500</v>
      </c>
      <c r="Z6" s="26">
        <v>6500</v>
      </c>
      <c r="AA6" s="26">
        <v>6500</v>
      </c>
      <c r="AB6" s="26">
        <v>6500</v>
      </c>
      <c r="AC6" s="26"/>
      <c r="AD6" s="26"/>
      <c r="AE6" s="26"/>
      <c r="AF6" s="26"/>
    </row>
    <row r="7" spans="1:34">
      <c r="A7" s="12" t="s">
        <v>7</v>
      </c>
      <c r="B7" s="24">
        <v>190636233</v>
      </c>
      <c r="C7" s="24">
        <v>1779271</v>
      </c>
      <c r="D7" s="24">
        <v>1779271</v>
      </c>
      <c r="E7" s="24">
        <v>1779271</v>
      </c>
      <c r="F7" s="24">
        <v>1779273</v>
      </c>
      <c r="G7" s="25"/>
      <c r="H7" s="24">
        <v>1779271</v>
      </c>
      <c r="I7" s="24">
        <v>1779271</v>
      </c>
      <c r="J7" s="24">
        <v>1779271</v>
      </c>
      <c r="K7" s="24">
        <v>1779271</v>
      </c>
      <c r="L7" s="24">
        <v>1779271</v>
      </c>
      <c r="M7" s="24">
        <v>1779274</v>
      </c>
      <c r="N7" s="24">
        <v>1779271</v>
      </c>
      <c r="O7" s="24">
        <v>1779271</v>
      </c>
      <c r="P7" s="24">
        <v>1779271</v>
      </c>
      <c r="Q7" s="24">
        <v>1779271</v>
      </c>
      <c r="R7" s="24">
        <v>1779271</v>
      </c>
      <c r="S7" s="24">
        <v>1779274</v>
      </c>
      <c r="T7" s="25"/>
      <c r="U7" s="24">
        <v>1779271</v>
      </c>
      <c r="V7" s="24">
        <v>1779271</v>
      </c>
      <c r="W7" s="24">
        <v>1779271</v>
      </c>
      <c r="X7" s="24">
        <v>1779271</v>
      </c>
      <c r="Y7" s="24">
        <v>1779271</v>
      </c>
      <c r="Z7" s="24">
        <v>1779274</v>
      </c>
      <c r="AA7" s="24">
        <v>1779271</v>
      </c>
      <c r="AB7" s="24">
        <v>1779271</v>
      </c>
      <c r="AC7" s="24">
        <v>1779271</v>
      </c>
      <c r="AD7" s="24">
        <v>1779271</v>
      </c>
      <c r="AE7" s="24">
        <v>1779271</v>
      </c>
      <c r="AF7" s="24">
        <v>1779274</v>
      </c>
    </row>
    <row r="8" spans="1:34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4">
      <c r="A9" s="12" t="s">
        <v>9</v>
      </c>
      <c r="B9" s="24">
        <f>SUM(B7-C7)</f>
        <v>188856962</v>
      </c>
      <c r="C9" s="24">
        <f>B9-C7</f>
        <v>187077691</v>
      </c>
      <c r="D9" s="24">
        <f t="shared" ref="D9:F9" si="2">C9-D7</f>
        <v>185298420</v>
      </c>
      <c r="E9" s="24">
        <f t="shared" si="2"/>
        <v>183519149</v>
      </c>
      <c r="F9" s="24">
        <f t="shared" si="2"/>
        <v>181739876</v>
      </c>
      <c r="G9" s="25"/>
      <c r="H9" s="24">
        <f>F9-H7</f>
        <v>179960605</v>
      </c>
      <c r="I9" s="24">
        <f>H9-I7</f>
        <v>178181334</v>
      </c>
      <c r="J9" s="24">
        <f t="shared" ref="J9:S9" si="3">I9-J7</f>
        <v>176402063</v>
      </c>
      <c r="K9" s="24">
        <f t="shared" si="3"/>
        <v>174622792</v>
      </c>
      <c r="L9" s="24">
        <f t="shared" si="3"/>
        <v>172843521</v>
      </c>
      <c r="M9" s="24">
        <f t="shared" si="3"/>
        <v>171064247</v>
      </c>
      <c r="N9" s="24">
        <f t="shared" si="3"/>
        <v>169284976</v>
      </c>
      <c r="O9" s="24">
        <f t="shared" si="3"/>
        <v>167505705</v>
      </c>
      <c r="P9" s="24">
        <f t="shared" si="3"/>
        <v>165726434</v>
      </c>
      <c r="Q9" s="24">
        <f t="shared" si="3"/>
        <v>163947163</v>
      </c>
      <c r="R9" s="24">
        <f t="shared" si="3"/>
        <v>162167892</v>
      </c>
      <c r="S9" s="24">
        <f t="shared" si="3"/>
        <v>160388618</v>
      </c>
      <c r="T9" s="25"/>
      <c r="U9" s="24">
        <f>S9-U7</f>
        <v>158609347</v>
      </c>
      <c r="V9" s="24">
        <f>U9-V7</f>
        <v>156830076</v>
      </c>
      <c r="W9" s="24">
        <f t="shared" ref="W9" si="4">V9-W7</f>
        <v>155050805</v>
      </c>
      <c r="X9" s="24">
        <f t="shared" ref="X9" si="5">W9-X7</f>
        <v>153271534</v>
      </c>
      <c r="Y9" s="24">
        <f t="shared" ref="Y9" si="6">X9-Y7</f>
        <v>151492263</v>
      </c>
      <c r="Z9" s="24">
        <f t="shared" ref="Z9" si="7">Y9-Z7</f>
        <v>149712989</v>
      </c>
      <c r="AA9" s="24">
        <f t="shared" ref="AA9" si="8">Z9-AA7</f>
        <v>147933718</v>
      </c>
      <c r="AB9" s="24">
        <f t="shared" ref="AB9" si="9">AA9-AB7</f>
        <v>146154447</v>
      </c>
      <c r="AC9" s="24">
        <f t="shared" ref="AC9" si="10">AB9-AC7</f>
        <v>144375176</v>
      </c>
      <c r="AD9" s="24">
        <f t="shared" ref="AD9" si="11">AC9-AD7</f>
        <v>142595905</v>
      </c>
      <c r="AE9" s="24">
        <f t="shared" ref="AE9" si="12">AD9-AE7</f>
        <v>140816634</v>
      </c>
      <c r="AF9" s="24">
        <f t="shared" ref="AF9" si="13">AE9-AF7</f>
        <v>139037360</v>
      </c>
    </row>
    <row r="10" spans="1:34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4">
      <c r="A11" s="12" t="s">
        <v>11</v>
      </c>
      <c r="B11" s="26"/>
      <c r="C11" s="26">
        <v>600</v>
      </c>
      <c r="D11" s="26">
        <v>100</v>
      </c>
      <c r="E11" s="26">
        <v>100</v>
      </c>
      <c r="F11" s="26">
        <v>100</v>
      </c>
      <c r="G11" s="26"/>
      <c r="H11" s="26">
        <v>100</v>
      </c>
      <c r="I11" s="26">
        <v>6696</v>
      </c>
      <c r="J11" s="26">
        <v>496</v>
      </c>
      <c r="K11" s="26">
        <v>496</v>
      </c>
      <c r="L11" s="26">
        <v>496</v>
      </c>
      <c r="M11" s="26">
        <v>496</v>
      </c>
      <c r="N11" s="26">
        <v>496</v>
      </c>
      <c r="O11" s="26">
        <v>496</v>
      </c>
      <c r="P11" s="26">
        <v>496</v>
      </c>
      <c r="Q11" s="26">
        <v>496</v>
      </c>
      <c r="R11" s="26">
        <v>496</v>
      </c>
      <c r="S11" s="26">
        <v>434</v>
      </c>
      <c r="T11" s="26"/>
      <c r="U11" s="26">
        <v>434</v>
      </c>
      <c r="V11" s="26">
        <v>217</v>
      </c>
      <c r="W11" s="26">
        <v>217</v>
      </c>
      <c r="X11" s="26">
        <v>455</v>
      </c>
      <c r="Y11" s="26">
        <v>455</v>
      </c>
      <c r="Z11" s="26">
        <v>455</v>
      </c>
      <c r="AA11" s="26">
        <v>455</v>
      </c>
      <c r="AB11" s="26">
        <v>455</v>
      </c>
      <c r="AC11" s="26"/>
      <c r="AD11" s="26"/>
      <c r="AE11" s="26"/>
      <c r="AF11" s="26"/>
      <c r="AG11" s="64">
        <f>SUM(C11:AF11)</f>
        <v>15737</v>
      </c>
      <c r="AH11" t="s">
        <v>26</v>
      </c>
    </row>
    <row r="12" spans="1:34">
      <c r="A12" s="12" t="s">
        <v>12</v>
      </c>
      <c r="B12" s="26">
        <v>-357.58</v>
      </c>
      <c r="C12" s="26">
        <v>1177.47</v>
      </c>
      <c r="D12" s="26">
        <v>4722.8100000000004</v>
      </c>
      <c r="E12" s="26">
        <v>6463.43</v>
      </c>
      <c r="F12" s="26">
        <v>1357.32</v>
      </c>
      <c r="G12" s="26"/>
      <c r="H12" s="26">
        <v>2269.8200000000002</v>
      </c>
      <c r="I12" s="26">
        <v>16185.79</v>
      </c>
      <c r="J12" s="26">
        <v>1327.92</v>
      </c>
      <c r="K12" s="26">
        <v>1327.82</v>
      </c>
      <c r="L12" s="26">
        <v>2106.7800000000002</v>
      </c>
      <c r="M12" s="26">
        <v>1327.82</v>
      </c>
      <c r="N12" s="26">
        <v>2093.94</v>
      </c>
      <c r="O12" s="26">
        <v>1350.96</v>
      </c>
      <c r="P12" s="26">
        <v>1349.88</v>
      </c>
      <c r="Q12" s="26">
        <v>1350.3</v>
      </c>
      <c r="R12" s="26">
        <v>22239.29</v>
      </c>
      <c r="S12" s="26">
        <v>1350.31</v>
      </c>
      <c r="T12" s="26"/>
      <c r="U12" s="26">
        <v>1350.26</v>
      </c>
      <c r="V12" s="26">
        <v>1350.26</v>
      </c>
      <c r="W12" s="26">
        <v>12157.45</v>
      </c>
      <c r="X12" s="26">
        <v>1365.21</v>
      </c>
      <c r="Y12" s="26">
        <v>1350.21</v>
      </c>
      <c r="Z12" s="26">
        <v>1363.76</v>
      </c>
      <c r="AA12" s="26">
        <v>1363.76</v>
      </c>
      <c r="AB12" s="26">
        <v>2112.71</v>
      </c>
      <c r="AC12" s="26"/>
      <c r="AD12" s="26"/>
      <c r="AE12" s="26"/>
      <c r="AF12" s="26"/>
      <c r="AG12" s="64">
        <v>20067.72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45276.83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2657.11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83738.66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-278885.04300000001</v>
      </c>
      <c r="D19" s="31">
        <f t="shared" ref="D19:S19" si="14">SUM(D5*D20)</f>
        <v>-755927.23940000008</v>
      </c>
      <c r="E19" s="31">
        <f t="shared" si="14"/>
        <v>-1057171.6701</v>
      </c>
      <c r="F19" s="31">
        <f t="shared" si="14"/>
        <v>-217580.66079999998</v>
      </c>
      <c r="G19" s="30"/>
      <c r="H19" s="31">
        <f t="shared" si="14"/>
        <v>-343149.93600000005</v>
      </c>
      <c r="I19" s="31">
        <f t="shared" si="14"/>
        <v>-2800423.9738999996</v>
      </c>
      <c r="J19" s="31">
        <f t="shared" si="14"/>
        <v>672340.93119999988</v>
      </c>
      <c r="K19" s="31">
        <f t="shared" si="14"/>
        <v>659665.37320000003</v>
      </c>
      <c r="L19" s="31">
        <f t="shared" si="14"/>
        <v>569008.25959999999</v>
      </c>
      <c r="M19" s="31">
        <f t="shared" si="14"/>
        <v>675813.47740000009</v>
      </c>
      <c r="N19" s="31">
        <f t="shared" si="14"/>
        <v>540317.68019999994</v>
      </c>
      <c r="O19" s="31">
        <f t="shared" si="14"/>
        <v>650866.54080000008</v>
      </c>
      <c r="P19" s="31">
        <f t="shared" si="14"/>
        <v>813219.27999999991</v>
      </c>
      <c r="Q19" s="31">
        <f t="shared" si="14"/>
        <v>647964.5834</v>
      </c>
      <c r="R19" s="31">
        <f t="shared" si="14"/>
        <v>-2394475.3449000004</v>
      </c>
      <c r="S19" s="31">
        <f t="shared" si="14"/>
        <v>659659.92910000007</v>
      </c>
      <c r="T19" s="30"/>
      <c r="U19" s="31">
        <f t="shared" ref="U19:AF19" si="15">SUM(U5*U20)</f>
        <v>456596.50679999997</v>
      </c>
      <c r="V19" s="31">
        <f t="shared" si="15"/>
        <v>82894.895200000028</v>
      </c>
      <c r="W19" s="31">
        <f t="shared" si="15"/>
        <v>-1511731.787</v>
      </c>
      <c r="X19" s="31">
        <f t="shared" si="15"/>
        <v>735344.95770000003</v>
      </c>
      <c r="Y19" s="31">
        <f t="shared" si="15"/>
        <v>735016.32240000006</v>
      </c>
      <c r="Z19" s="31">
        <f t="shared" si="15"/>
        <v>719319.33840000001</v>
      </c>
      <c r="AA19" s="31">
        <f t="shared" si="15"/>
        <v>729384.00439999998</v>
      </c>
      <c r="AB19" s="31">
        <f t="shared" si="15"/>
        <v>628694.52520000003</v>
      </c>
      <c r="AC19" s="31">
        <f t="shared" si="15"/>
        <v>0</v>
      </c>
      <c r="AD19" s="31">
        <f t="shared" si="15"/>
        <v>0</v>
      </c>
      <c r="AE19" s="31">
        <f t="shared" si="15"/>
        <v>0</v>
      </c>
      <c r="AF19" s="31">
        <f t="shared" si="15"/>
        <v>0</v>
      </c>
    </row>
    <row r="20" spans="1:32">
      <c r="A20" s="12" t="s">
        <v>20</v>
      </c>
      <c r="B20" s="33"/>
      <c r="C20" s="33">
        <f>SUM(C6-C11-C12)</f>
        <v>-1777.47</v>
      </c>
      <c r="D20" s="33">
        <f t="shared" ref="D20:S20" si="16">SUM(D6-D11-D12)</f>
        <v>-4822.8100000000004</v>
      </c>
      <c r="E20" s="33">
        <f t="shared" si="16"/>
        <v>-6563.43</v>
      </c>
      <c r="F20" s="33">
        <f t="shared" si="16"/>
        <v>-1427.32</v>
      </c>
      <c r="G20" s="33"/>
      <c r="H20" s="33">
        <f t="shared" si="16"/>
        <v>-2369.8200000000002</v>
      </c>
      <c r="I20" s="33">
        <f t="shared" si="16"/>
        <v>-19620.43</v>
      </c>
      <c r="J20" s="33">
        <f t="shared" si="16"/>
        <v>4376.08</v>
      </c>
      <c r="K20" s="33">
        <f t="shared" si="16"/>
        <v>4376.18</v>
      </c>
      <c r="L20" s="33">
        <f t="shared" si="16"/>
        <v>3597.22</v>
      </c>
      <c r="M20" s="33">
        <f t="shared" si="16"/>
        <v>4376.18</v>
      </c>
      <c r="N20" s="33">
        <f t="shared" si="16"/>
        <v>3610.06</v>
      </c>
      <c r="O20" s="33">
        <f t="shared" si="16"/>
        <v>4353.04</v>
      </c>
      <c r="P20" s="33">
        <f t="shared" si="16"/>
        <v>5704</v>
      </c>
      <c r="Q20" s="33">
        <f t="shared" si="16"/>
        <v>4503.82</v>
      </c>
      <c r="R20" s="33">
        <f t="shared" si="16"/>
        <v>-16535.29</v>
      </c>
      <c r="S20" s="33">
        <f t="shared" si="16"/>
        <v>4415.6900000000005</v>
      </c>
      <c r="T20" s="33"/>
      <c r="U20" s="33">
        <f t="shared" ref="U20:AF20" si="17">SUM(U6-U11-U12)</f>
        <v>3107.79</v>
      </c>
      <c r="V20" s="33">
        <f t="shared" si="17"/>
        <v>556.79000000000019</v>
      </c>
      <c r="W20" s="33">
        <f t="shared" si="17"/>
        <v>-9810.07</v>
      </c>
      <c r="X20" s="33">
        <f t="shared" si="17"/>
        <v>4694.79</v>
      </c>
      <c r="Y20" s="33">
        <f t="shared" si="17"/>
        <v>4694.79</v>
      </c>
      <c r="Z20" s="33">
        <f t="shared" si="17"/>
        <v>4681.24</v>
      </c>
      <c r="AA20" s="33">
        <f t="shared" si="17"/>
        <v>4681.24</v>
      </c>
      <c r="AB20" s="33">
        <f t="shared" si="17"/>
        <v>3932.29</v>
      </c>
      <c r="AC20" s="33">
        <f t="shared" si="17"/>
        <v>0</v>
      </c>
      <c r="AD20" s="33">
        <f t="shared" si="17"/>
        <v>0</v>
      </c>
      <c r="AE20" s="33">
        <f t="shared" si="17"/>
        <v>0</v>
      </c>
      <c r="AF20" s="33">
        <f t="shared" si="17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spans="1:32">
      <c r="A23" s="12" t="s">
        <v>31</v>
      </c>
      <c r="B23" s="67">
        <v>46265</v>
      </c>
    </row>
    <row r="24" spans="1:32">
      <c r="A24" s="12" t="s">
        <v>23</v>
      </c>
      <c r="B24" s="67">
        <v>45379</v>
      </c>
    </row>
    <row r="25" spans="1:32">
      <c r="A25" s="37" t="s">
        <v>24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25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>
      <c r="A27" s="12" t="s">
        <v>1</v>
      </c>
      <c r="B27" s="24">
        <f>B28*B30</f>
        <v>210000000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1400000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930000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4573.2</v>
      </c>
      <c r="G29" s="24"/>
      <c r="H29" s="24">
        <f t="shared" ref="H29:S29" si="18">H30*H31</f>
        <v>0</v>
      </c>
      <c r="I29" s="24">
        <f t="shared" si="18"/>
        <v>465493.91279999999</v>
      </c>
      <c r="J29" s="24">
        <f t="shared" si="18"/>
        <v>952567.99999999988</v>
      </c>
      <c r="K29" s="24">
        <f t="shared" si="18"/>
        <v>934588</v>
      </c>
      <c r="L29" s="24">
        <f t="shared" si="18"/>
        <v>980716</v>
      </c>
      <c r="M29" s="24">
        <f t="shared" si="18"/>
        <v>957466</v>
      </c>
      <c r="N29" s="24">
        <f t="shared" si="18"/>
        <v>927953.99999999988</v>
      </c>
      <c r="O29" s="24">
        <f t="shared" si="18"/>
        <v>927024.00000000012</v>
      </c>
      <c r="P29" s="24">
        <f t="shared" si="18"/>
        <v>1076386.3916</v>
      </c>
      <c r="Q29" s="24">
        <f t="shared" si="18"/>
        <v>913591.76439999999</v>
      </c>
      <c r="R29" s="24">
        <f t="shared" si="18"/>
        <v>897822</v>
      </c>
      <c r="S29" s="24">
        <f t="shared" si="18"/>
        <v>926217.99999999988</v>
      </c>
      <c r="T29" s="24"/>
      <c r="U29" s="24">
        <f t="shared" ref="U29:AF29" si="19">U30*U31</f>
        <v>718739.98599999992</v>
      </c>
      <c r="V29" s="24">
        <f t="shared" si="19"/>
        <v>316228.56400000001</v>
      </c>
      <c r="W29" s="24">
        <f t="shared" si="19"/>
        <v>395170.95799999998</v>
      </c>
      <c r="X29" s="24">
        <f t="shared" si="19"/>
        <v>1020444.45</v>
      </c>
      <c r="Y29" s="24">
        <f t="shared" si="19"/>
        <v>1017640</v>
      </c>
      <c r="Z29" s="24">
        <f t="shared" si="19"/>
        <v>998790</v>
      </c>
      <c r="AA29" s="24">
        <f t="shared" si="19"/>
        <v>1012765</v>
      </c>
      <c r="AB29" s="24">
        <f t="shared" si="19"/>
        <v>1039220</v>
      </c>
      <c r="AC29" s="24">
        <f t="shared" si="19"/>
        <v>0</v>
      </c>
      <c r="AD29" s="24">
        <f t="shared" si="19"/>
        <v>0</v>
      </c>
      <c r="AE29" s="24">
        <f t="shared" si="19"/>
        <v>0</v>
      </c>
      <c r="AF29" s="24">
        <f t="shared" si="19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>
        <v>6200</v>
      </c>
      <c r="C31" s="26">
        <v>0</v>
      </c>
      <c r="D31" s="26">
        <v>0</v>
      </c>
      <c r="E31" s="26">
        <v>0</v>
      </c>
      <c r="F31" s="26">
        <v>30</v>
      </c>
      <c r="G31" s="24"/>
      <c r="H31" s="26">
        <v>0</v>
      </c>
      <c r="I31" s="26">
        <v>3261.36</v>
      </c>
      <c r="J31" s="26">
        <v>6200</v>
      </c>
      <c r="K31" s="26">
        <v>6200</v>
      </c>
      <c r="L31" s="26">
        <v>6200</v>
      </c>
      <c r="M31" s="26">
        <v>6200</v>
      </c>
      <c r="N31" s="26">
        <v>6200</v>
      </c>
      <c r="O31" s="26">
        <v>6200</v>
      </c>
      <c r="P31" s="26">
        <v>7549.88</v>
      </c>
      <c r="Q31" s="26">
        <v>6350.12</v>
      </c>
      <c r="R31" s="26">
        <v>6200</v>
      </c>
      <c r="S31" s="26">
        <v>6200</v>
      </c>
      <c r="T31" s="24"/>
      <c r="U31" s="26">
        <v>4892.05</v>
      </c>
      <c r="V31" s="26">
        <v>2124.0500000000002</v>
      </c>
      <c r="W31" s="26">
        <v>2564.38</v>
      </c>
      <c r="X31" s="26">
        <v>6515</v>
      </c>
      <c r="Y31" s="26">
        <v>6500</v>
      </c>
      <c r="Z31" s="26">
        <v>6500</v>
      </c>
      <c r="AA31" s="26">
        <v>6500</v>
      </c>
      <c r="AB31" s="26">
        <v>6500</v>
      </c>
      <c r="AC31" s="26"/>
      <c r="AD31" s="26"/>
      <c r="AE31" s="26"/>
      <c r="AF31" s="26"/>
    </row>
    <row r="32" spans="1:32">
      <c r="A32" s="12" t="s">
        <v>7</v>
      </c>
      <c r="B32" s="24">
        <v>190636233</v>
      </c>
      <c r="C32" s="24">
        <v>1779271</v>
      </c>
      <c r="D32" s="24">
        <v>1779271</v>
      </c>
      <c r="E32" s="24">
        <v>1779271</v>
      </c>
      <c r="F32" s="24">
        <v>1779273</v>
      </c>
      <c r="G32" s="25"/>
      <c r="H32" s="24">
        <v>1779271</v>
      </c>
      <c r="I32" s="24">
        <v>1779271</v>
      </c>
      <c r="J32" s="24">
        <v>1779271</v>
      </c>
      <c r="K32" s="24">
        <v>1779271</v>
      </c>
      <c r="L32" s="24">
        <v>1779271</v>
      </c>
      <c r="M32" s="24">
        <v>1779274</v>
      </c>
      <c r="N32" s="24">
        <v>1779271</v>
      </c>
      <c r="O32" s="24">
        <v>1779271</v>
      </c>
      <c r="P32" s="24">
        <v>1779271</v>
      </c>
      <c r="Q32" s="24">
        <v>1779271</v>
      </c>
      <c r="R32" s="24">
        <v>1779271</v>
      </c>
      <c r="S32" s="24">
        <v>1779274</v>
      </c>
      <c r="T32" s="25"/>
      <c r="U32" s="24">
        <v>1779271</v>
      </c>
      <c r="V32" s="24">
        <v>1779271</v>
      </c>
      <c r="W32" s="24">
        <v>1779271</v>
      </c>
      <c r="X32" s="24">
        <v>1779271</v>
      </c>
      <c r="Y32" s="24">
        <v>1779271</v>
      </c>
      <c r="Z32" s="24">
        <v>1779274</v>
      </c>
      <c r="AA32" s="24">
        <v>1779271</v>
      </c>
      <c r="AB32" s="24">
        <v>1779271</v>
      </c>
      <c r="AC32" s="24">
        <v>1779271</v>
      </c>
      <c r="AD32" s="24">
        <v>1779271</v>
      </c>
      <c r="AE32" s="24">
        <v>1779271</v>
      </c>
      <c r="AF32" s="24">
        <v>1779274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>
        <f>SUM(B32-C32)</f>
        <v>188856962</v>
      </c>
      <c r="C34" s="24">
        <f>B34-C32</f>
        <v>187077691</v>
      </c>
      <c r="D34" s="24">
        <f t="shared" ref="D34" si="20">C34-D32</f>
        <v>185298420</v>
      </c>
      <c r="E34" s="24">
        <f t="shared" ref="E34" si="21">D34-E32</f>
        <v>183519149</v>
      </c>
      <c r="F34" s="24">
        <f t="shared" ref="F34" si="22">E34-F32</f>
        <v>181739876</v>
      </c>
      <c r="G34" s="25"/>
      <c r="H34" s="24">
        <f>F34-H32</f>
        <v>179960605</v>
      </c>
      <c r="I34" s="24">
        <f>H34-I32</f>
        <v>178181334</v>
      </c>
      <c r="J34" s="24">
        <f t="shared" ref="J34" si="23">I34-J32</f>
        <v>176402063</v>
      </c>
      <c r="K34" s="24">
        <f t="shared" ref="K34" si="24">J34-K32</f>
        <v>174622792</v>
      </c>
      <c r="L34" s="24">
        <f t="shared" ref="L34" si="25">K34-L32</f>
        <v>172843521</v>
      </c>
      <c r="M34" s="24">
        <f t="shared" ref="M34" si="26">L34-M32</f>
        <v>171064247</v>
      </c>
      <c r="N34" s="24">
        <f t="shared" ref="N34" si="27">M34-N32</f>
        <v>169284976</v>
      </c>
      <c r="O34" s="24">
        <f t="shared" ref="O34" si="28">N34-O32</f>
        <v>167505705</v>
      </c>
      <c r="P34" s="24">
        <f t="shared" ref="P34" si="29">O34-P32</f>
        <v>165726434</v>
      </c>
      <c r="Q34" s="24">
        <f t="shared" ref="Q34" si="30">P34-Q32</f>
        <v>163947163</v>
      </c>
      <c r="R34" s="24">
        <f t="shared" ref="R34" si="31">Q34-R32</f>
        <v>162167892</v>
      </c>
      <c r="S34" s="24">
        <f t="shared" ref="S34" si="32">R34-S32</f>
        <v>160388618</v>
      </c>
      <c r="T34" s="25"/>
      <c r="U34" s="24">
        <f>S34-U32</f>
        <v>158609347</v>
      </c>
      <c r="V34" s="24">
        <f>U34-V32</f>
        <v>156830076</v>
      </c>
      <c r="W34" s="24">
        <f t="shared" ref="W34" si="33">V34-W32</f>
        <v>155050805</v>
      </c>
      <c r="X34" s="24">
        <f t="shared" ref="X34" si="34">W34-X32</f>
        <v>153271534</v>
      </c>
      <c r="Y34" s="24">
        <f t="shared" ref="Y34" si="35">X34-Y32</f>
        <v>151492263</v>
      </c>
      <c r="Z34" s="24">
        <f t="shared" ref="Z34" si="36">Y34-Z32</f>
        <v>149712989</v>
      </c>
      <c r="AA34" s="24">
        <f t="shared" ref="AA34" si="37">Z34-AA32</f>
        <v>147933718</v>
      </c>
      <c r="AB34" s="24">
        <f t="shared" ref="AB34" si="38">AA34-AB32</f>
        <v>146154447</v>
      </c>
      <c r="AC34" s="24">
        <f t="shared" ref="AC34" si="39">AB34-AC32</f>
        <v>144375176</v>
      </c>
      <c r="AD34" s="24">
        <f t="shared" ref="AD34" si="40">AC34-AD32</f>
        <v>142595905</v>
      </c>
      <c r="AE34" s="24">
        <f t="shared" ref="AE34" si="41">AD34-AE32</f>
        <v>140816634</v>
      </c>
      <c r="AF34" s="24">
        <f t="shared" ref="AF34" si="42">AE34-AF32</f>
        <v>139037360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>
        <v>600</v>
      </c>
      <c r="D36" s="26">
        <v>100</v>
      </c>
      <c r="E36" s="26">
        <v>100</v>
      </c>
      <c r="F36" s="26">
        <v>100</v>
      </c>
      <c r="G36" s="26"/>
      <c r="H36" s="26">
        <v>100</v>
      </c>
      <c r="I36" s="26">
        <v>6696</v>
      </c>
      <c r="J36" s="26">
        <v>496</v>
      </c>
      <c r="K36" s="26">
        <v>496</v>
      </c>
      <c r="L36" s="26">
        <v>496</v>
      </c>
      <c r="M36" s="26">
        <v>496</v>
      </c>
      <c r="N36" s="26">
        <v>496</v>
      </c>
      <c r="O36" s="26">
        <v>496</v>
      </c>
      <c r="P36" s="26">
        <v>496</v>
      </c>
      <c r="Q36" s="26">
        <v>496</v>
      </c>
      <c r="R36" s="26">
        <v>496</v>
      </c>
      <c r="S36" s="26">
        <v>434</v>
      </c>
      <c r="T36" s="26"/>
      <c r="U36" s="26">
        <v>434</v>
      </c>
      <c r="V36" s="26">
        <v>217</v>
      </c>
      <c r="W36" s="26">
        <v>217</v>
      </c>
      <c r="X36" s="26">
        <v>455</v>
      </c>
      <c r="Y36" s="26">
        <v>455</v>
      </c>
      <c r="Z36" s="26">
        <v>455</v>
      </c>
      <c r="AA36" s="26">
        <v>455</v>
      </c>
      <c r="AB36" s="26">
        <v>455</v>
      </c>
      <c r="AC36" s="26"/>
      <c r="AD36" s="26"/>
      <c r="AE36" s="26"/>
      <c r="AF36" s="26"/>
    </row>
    <row r="37" spans="1:32">
      <c r="A37" s="12" t="s">
        <v>12</v>
      </c>
      <c r="B37" s="26">
        <v>-357.58</v>
      </c>
      <c r="C37" s="26">
        <v>1177.47</v>
      </c>
      <c r="D37" s="26">
        <v>4722.8100000000004</v>
      </c>
      <c r="E37" s="26">
        <v>3039.35</v>
      </c>
      <c r="F37" s="26">
        <v>3069.36</v>
      </c>
      <c r="G37" s="26"/>
      <c r="H37" s="26">
        <v>3981.86</v>
      </c>
      <c r="I37" s="26">
        <v>2978.75</v>
      </c>
      <c r="J37" s="26">
        <v>2978.8</v>
      </c>
      <c r="K37" s="26">
        <v>2978.7</v>
      </c>
      <c r="L37" s="26">
        <v>3757.66</v>
      </c>
      <c r="M37" s="26">
        <v>2978.7</v>
      </c>
      <c r="N37" s="26">
        <v>3744.82</v>
      </c>
      <c r="O37" s="26">
        <v>3001.84</v>
      </c>
      <c r="P37" s="26">
        <v>3000.76</v>
      </c>
      <c r="Q37" s="26">
        <v>3001.18</v>
      </c>
      <c r="R37" s="26">
        <v>3091.05</v>
      </c>
      <c r="S37" s="26">
        <v>3091.05</v>
      </c>
      <c r="U37" s="26">
        <v>3091.01</v>
      </c>
      <c r="V37" s="26">
        <v>3091.01</v>
      </c>
      <c r="W37" s="26">
        <v>13898.2</v>
      </c>
      <c r="X37" s="26">
        <v>3105.96</v>
      </c>
      <c r="Y37" s="26">
        <v>3090.96</v>
      </c>
      <c r="Z37" s="26">
        <v>3104.51</v>
      </c>
      <c r="AA37" s="26">
        <v>3104.51</v>
      </c>
      <c r="AB37" s="26">
        <v>1740.75</v>
      </c>
      <c r="AC37" s="26">
        <v>1740.75</v>
      </c>
      <c r="AD37" s="26">
        <v>1740.75</v>
      </c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-278885.04300000001</v>
      </c>
      <c r="D44" s="31">
        <f t="shared" ref="D44:F44" si="43">SUM(D30*D45)</f>
        <v>-755927.23940000008</v>
      </c>
      <c r="E44" s="31">
        <f t="shared" si="43"/>
        <v>-505655.10449999996</v>
      </c>
      <c r="F44" s="31">
        <f t="shared" si="43"/>
        <v>-478564.03840000002</v>
      </c>
      <c r="G44" s="30"/>
      <c r="H44" s="31">
        <f t="shared" ref="H44:S44" si="44">SUM(H30*H45)</f>
        <v>-591053.3280000001</v>
      </c>
      <c r="I44" s="31">
        <f t="shared" si="44"/>
        <v>-915383.15469999984</v>
      </c>
      <c r="J44" s="31">
        <f t="shared" si="44"/>
        <v>418699.72799999994</v>
      </c>
      <c r="K44" s="31">
        <f t="shared" si="44"/>
        <v>410811.72200000007</v>
      </c>
      <c r="L44" s="31">
        <f t="shared" si="44"/>
        <v>307872.06120000005</v>
      </c>
      <c r="M44" s="31">
        <f t="shared" si="44"/>
        <v>420868.07900000003</v>
      </c>
      <c r="N44" s="31">
        <f t="shared" si="44"/>
        <v>293230.47059999994</v>
      </c>
      <c r="O44" s="31">
        <f t="shared" si="44"/>
        <v>404026.9632</v>
      </c>
      <c r="P44" s="31">
        <f t="shared" si="44"/>
        <v>577853.31839999999</v>
      </c>
      <c r="Q44" s="31">
        <f t="shared" si="44"/>
        <v>410452.47779999999</v>
      </c>
      <c r="R44" s="31">
        <f t="shared" si="44"/>
        <v>378381.28949999996</v>
      </c>
      <c r="S44" s="31">
        <f t="shared" si="44"/>
        <v>399610.78049999994</v>
      </c>
      <c r="T44" s="30"/>
      <c r="U44" s="31">
        <f t="shared" ref="U44:AF44" si="45">SUM(U30*U45)</f>
        <v>200845.51679999998</v>
      </c>
      <c r="V44" s="31">
        <f t="shared" si="45"/>
        <v>-176267.96479999999</v>
      </c>
      <c r="W44" s="31">
        <f t="shared" si="45"/>
        <v>-1779981.362</v>
      </c>
      <c r="X44" s="31">
        <f t="shared" si="45"/>
        <v>462691.28519999998</v>
      </c>
      <c r="Y44" s="31">
        <f t="shared" si="45"/>
        <v>462484.5024</v>
      </c>
      <c r="Z44" s="31">
        <f t="shared" si="45"/>
        <v>451835.69339999993</v>
      </c>
      <c r="AA44" s="31">
        <f t="shared" si="45"/>
        <v>458157.74689999997</v>
      </c>
      <c r="AB44" s="31">
        <f t="shared" si="45"/>
        <v>688163.49</v>
      </c>
      <c r="AC44" s="31">
        <f t="shared" si="45"/>
        <v>-279198.89249999996</v>
      </c>
      <c r="AD44" s="31">
        <f t="shared" si="45"/>
        <v>0</v>
      </c>
      <c r="AE44" s="31">
        <f t="shared" si="45"/>
        <v>0</v>
      </c>
      <c r="AF44" s="31">
        <f t="shared" si="45"/>
        <v>0</v>
      </c>
    </row>
    <row r="45" spans="1:32" s="64" customFormat="1">
      <c r="A45" s="63" t="s">
        <v>20</v>
      </c>
      <c r="B45" s="33"/>
      <c r="C45" s="33">
        <f>SUM(C31-C36-C37)</f>
        <v>-1777.47</v>
      </c>
      <c r="D45" s="33">
        <f t="shared" ref="D45:F45" si="46">SUM(D31-D36-D37)</f>
        <v>-4822.8100000000004</v>
      </c>
      <c r="E45" s="33">
        <f t="shared" si="46"/>
        <v>-3139.35</v>
      </c>
      <c r="F45" s="33">
        <f t="shared" si="46"/>
        <v>-3139.36</v>
      </c>
      <c r="G45" s="33"/>
      <c r="H45" s="33">
        <f t="shared" ref="H45:S45" si="47">SUM(H31-H36-H37)</f>
        <v>-4081.86</v>
      </c>
      <c r="I45" s="33">
        <f t="shared" si="47"/>
        <v>-6413.3899999999994</v>
      </c>
      <c r="J45" s="33">
        <f t="shared" si="47"/>
        <v>2725.2</v>
      </c>
      <c r="K45" s="33">
        <f t="shared" si="47"/>
        <v>2725.3</v>
      </c>
      <c r="L45" s="33">
        <f t="shared" si="47"/>
        <v>1946.3400000000001</v>
      </c>
      <c r="M45" s="33">
        <f t="shared" si="47"/>
        <v>2725.3</v>
      </c>
      <c r="N45" s="33">
        <f t="shared" si="47"/>
        <v>1959.1799999999998</v>
      </c>
      <c r="O45" s="33">
        <f t="shared" si="47"/>
        <v>2702.16</v>
      </c>
      <c r="P45" s="33">
        <f t="shared" si="47"/>
        <v>4053.12</v>
      </c>
      <c r="Q45" s="33">
        <f t="shared" si="47"/>
        <v>2852.94</v>
      </c>
      <c r="R45" s="33">
        <f t="shared" si="47"/>
        <v>2612.9499999999998</v>
      </c>
      <c r="S45" s="33">
        <f t="shared" si="47"/>
        <v>2674.95</v>
      </c>
      <c r="T45" s="33"/>
      <c r="U45" s="33">
        <f t="shared" ref="U45:AF45" si="48">SUM(U31-U36-U37)</f>
        <v>1367.04</v>
      </c>
      <c r="V45" s="33">
        <f t="shared" si="48"/>
        <v>-1183.96</v>
      </c>
      <c r="W45" s="33">
        <f t="shared" si="48"/>
        <v>-11550.82</v>
      </c>
      <c r="X45" s="33">
        <f t="shared" si="48"/>
        <v>2954.04</v>
      </c>
      <c r="Y45" s="33">
        <f t="shared" si="48"/>
        <v>2954.04</v>
      </c>
      <c r="Z45" s="33">
        <f t="shared" si="48"/>
        <v>2940.49</v>
      </c>
      <c r="AA45" s="33">
        <f t="shared" si="48"/>
        <v>2940.49</v>
      </c>
      <c r="AB45" s="33">
        <f t="shared" si="48"/>
        <v>4304.25</v>
      </c>
      <c r="AC45" s="33">
        <f t="shared" si="48"/>
        <v>-1740.75</v>
      </c>
      <c r="AD45" s="33">
        <f t="shared" si="48"/>
        <v>-1740.75</v>
      </c>
      <c r="AE45" s="33">
        <f t="shared" si="48"/>
        <v>0</v>
      </c>
      <c r="AF45" s="33">
        <f t="shared" si="48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2" spans="18:18">
      <c r="R52" s="58">
        <v>20888.98</v>
      </c>
    </row>
    <row r="53" spans="18:18">
      <c r="R53">
        <v>1740.74</v>
      </c>
    </row>
    <row r="54" spans="18:18">
      <c r="R54">
        <v>1740.74</v>
      </c>
    </row>
    <row r="55" spans="18:18">
      <c r="R55">
        <v>1740.75</v>
      </c>
    </row>
    <row r="56" spans="18:18">
      <c r="R56">
        <v>1740.75</v>
      </c>
    </row>
    <row r="57" spans="18:18">
      <c r="R57">
        <v>1740.75</v>
      </c>
    </row>
    <row r="58" spans="18:18">
      <c r="R58">
        <v>1740.75</v>
      </c>
    </row>
    <row r="59" spans="18:18">
      <c r="R59">
        <v>1740.75</v>
      </c>
    </row>
    <row r="60" spans="18:18">
      <c r="R60">
        <v>1740.75</v>
      </c>
    </row>
    <row r="61" spans="18:18">
      <c r="R61">
        <v>1740.75</v>
      </c>
    </row>
    <row r="62" spans="18:18">
      <c r="R62">
        <v>1740.75</v>
      </c>
    </row>
    <row r="63" spans="18:18">
      <c r="R63">
        <v>1740.75</v>
      </c>
    </row>
    <row r="64" spans="18:18">
      <c r="R64">
        <v>1740.75</v>
      </c>
    </row>
    <row r="65" spans="18:18">
      <c r="R65" s="58">
        <f>SUM(R53:R64)</f>
        <v>20888.98</v>
      </c>
    </row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13A7-BEC4-488F-B694-FD88BABD54B4}">
  <dimension ref="A1:AH64"/>
  <sheetViews>
    <sheetView zoomScale="90" zoomScaleNormal="90" workbookViewId="0">
      <pane xSplit="1" ySplit="1" topLeftCell="O2" activePane="bottomRight" state="frozen"/>
      <selection pane="bottomRight" activeCell="AB13" sqref="AB13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3.87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0.375" bestFit="1" customWidth="1"/>
    <col min="23" max="25" width="11.25" bestFit="1" customWidth="1"/>
    <col min="26" max="32" width="10.375" bestFit="1" customWidth="1"/>
    <col min="33" max="33" width="9.375" bestFit="1" customWidth="1"/>
  </cols>
  <sheetData>
    <row r="1" spans="1:34">
      <c r="A1" s="23" t="s">
        <v>32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168750000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1125000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B6*B5</f>
        <v>900000</v>
      </c>
      <c r="C4" s="24">
        <f>C5*C6</f>
        <v>0</v>
      </c>
      <c r="D4" s="24">
        <f>D5*D6</f>
        <v>2351.1000000000004</v>
      </c>
      <c r="E4" s="24">
        <f>E5*E6</f>
        <v>4832.0999999999995</v>
      </c>
      <c r="F4" s="24">
        <f>F5*F6</f>
        <v>4573.2</v>
      </c>
      <c r="G4" s="24"/>
      <c r="H4" s="24">
        <f t="shared" ref="H4:S4" si="0">H5*H6</f>
        <v>273731.36800000002</v>
      </c>
      <c r="I4" s="24">
        <f t="shared" si="0"/>
        <v>820697.49999999988</v>
      </c>
      <c r="J4" s="24">
        <f t="shared" si="0"/>
        <v>883429.99999999988</v>
      </c>
      <c r="K4" s="24">
        <f t="shared" si="0"/>
        <v>866755</v>
      </c>
      <c r="L4" s="24">
        <f t="shared" si="0"/>
        <v>909535</v>
      </c>
      <c r="M4" s="24">
        <f t="shared" si="0"/>
        <v>895267.77320000005</v>
      </c>
      <c r="N4" s="24">
        <f t="shared" si="0"/>
        <v>878812.84889999998</v>
      </c>
      <c r="O4" s="24">
        <f t="shared" si="0"/>
        <v>870209.39040000015</v>
      </c>
      <c r="P4" s="24">
        <f t="shared" si="0"/>
        <v>828893.42579999985</v>
      </c>
      <c r="Q4" s="24">
        <f t="shared" si="0"/>
        <v>841576.19720000005</v>
      </c>
      <c r="R4" s="24">
        <f t="shared" si="0"/>
        <v>845361.68129999994</v>
      </c>
      <c r="S4" s="24">
        <f t="shared" si="0"/>
        <v>867736.29669999983</v>
      </c>
      <c r="T4" s="24"/>
      <c r="U4" s="24">
        <f t="shared" ref="U4:AF4" si="1">U5*U6</f>
        <v>250686.65759999998</v>
      </c>
      <c r="V4" s="24">
        <f t="shared" si="1"/>
        <v>13988.764799999999</v>
      </c>
      <c r="W4" s="24">
        <f t="shared" si="1"/>
        <v>925740.34</v>
      </c>
      <c r="X4" s="24">
        <f t="shared" si="1"/>
        <v>939780</v>
      </c>
      <c r="Y4" s="24">
        <f t="shared" si="1"/>
        <v>939360</v>
      </c>
      <c r="Z4" s="24">
        <f t="shared" si="1"/>
        <v>925666.27919999999</v>
      </c>
      <c r="AA4" s="24">
        <f t="shared" si="1"/>
        <v>938667.99639999995</v>
      </c>
      <c r="AB4" s="24">
        <f t="shared" si="1"/>
        <v>964476.1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6000</v>
      </c>
      <c r="C6" s="26">
        <v>0</v>
      </c>
      <c r="D6" s="26">
        <v>15</v>
      </c>
      <c r="E6" s="26">
        <v>30</v>
      </c>
      <c r="F6" s="26">
        <v>30</v>
      </c>
      <c r="G6" s="26"/>
      <c r="H6" s="26">
        <v>1890.41</v>
      </c>
      <c r="I6" s="26">
        <v>5750</v>
      </c>
      <c r="J6" s="26">
        <v>5750</v>
      </c>
      <c r="K6" s="26">
        <v>5750</v>
      </c>
      <c r="L6" s="26">
        <v>5750</v>
      </c>
      <c r="M6" s="26">
        <v>5797.24</v>
      </c>
      <c r="N6" s="26">
        <v>5871.67</v>
      </c>
      <c r="O6" s="26">
        <v>5820.02</v>
      </c>
      <c r="P6" s="26">
        <v>5813.94</v>
      </c>
      <c r="Q6" s="26">
        <v>5849.56</v>
      </c>
      <c r="R6" s="26">
        <v>5837.73</v>
      </c>
      <c r="S6" s="26">
        <v>5808.53</v>
      </c>
      <c r="T6" s="26"/>
      <c r="U6" s="26">
        <v>1706.28</v>
      </c>
      <c r="V6" s="26">
        <v>93.96</v>
      </c>
      <c r="W6" s="26">
        <v>6007.4</v>
      </c>
      <c r="X6" s="26">
        <v>6000</v>
      </c>
      <c r="Y6" s="26">
        <v>6000</v>
      </c>
      <c r="Z6" s="26">
        <v>6024.12</v>
      </c>
      <c r="AA6" s="26">
        <v>6024.44</v>
      </c>
      <c r="AB6" s="26">
        <v>6032.5</v>
      </c>
      <c r="AC6" s="26"/>
      <c r="AD6" s="26"/>
      <c r="AE6" s="26"/>
      <c r="AF6" s="26"/>
    </row>
    <row r="7" spans="1:34">
      <c r="A7" s="12" t="s">
        <v>7</v>
      </c>
      <c r="B7" s="24">
        <v>87233222</v>
      </c>
      <c r="C7" s="24">
        <v>814176</v>
      </c>
      <c r="D7" s="24">
        <v>814176</v>
      </c>
      <c r="E7" s="24">
        <v>814176</v>
      </c>
      <c r="F7" s="24">
        <v>814179</v>
      </c>
      <c r="G7" s="25"/>
      <c r="H7" s="24">
        <v>814176</v>
      </c>
      <c r="I7" s="24">
        <v>814176</v>
      </c>
      <c r="J7" s="24">
        <v>814176</v>
      </c>
      <c r="K7" s="24">
        <v>814176</v>
      </c>
      <c r="L7" s="24">
        <v>814176</v>
      </c>
      <c r="M7" s="24">
        <v>814180</v>
      </c>
      <c r="N7" s="24">
        <v>814176</v>
      </c>
      <c r="O7" s="24">
        <v>814176</v>
      </c>
      <c r="P7" s="24">
        <v>814176</v>
      </c>
      <c r="Q7" s="24">
        <v>814176</v>
      </c>
      <c r="R7" s="24">
        <v>814176</v>
      </c>
      <c r="S7" s="24">
        <v>814180</v>
      </c>
      <c r="T7" s="25"/>
      <c r="U7" s="24">
        <v>814176</v>
      </c>
      <c r="V7" s="24">
        <v>814176</v>
      </c>
      <c r="W7" s="24">
        <v>814176</v>
      </c>
      <c r="X7" s="24">
        <v>814176</v>
      </c>
      <c r="Y7" s="24">
        <v>814176</v>
      </c>
      <c r="Z7" s="24">
        <v>814180</v>
      </c>
      <c r="AA7" s="24">
        <v>814176</v>
      </c>
      <c r="AB7" s="24">
        <v>814176</v>
      </c>
      <c r="AC7" s="24">
        <v>814176</v>
      </c>
      <c r="AD7" s="24">
        <v>814176</v>
      </c>
      <c r="AE7" s="24">
        <v>814176</v>
      </c>
      <c r="AF7" s="24">
        <v>814180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f>SUM(B7-C7)</f>
        <v>86419046</v>
      </c>
      <c r="C9" s="24">
        <f>SUM(B9-C7)</f>
        <v>85604870</v>
      </c>
      <c r="D9" s="24">
        <f t="shared" ref="D9:F9" si="2">SUM(C9-D7)</f>
        <v>84790694</v>
      </c>
      <c r="E9" s="24">
        <f t="shared" si="2"/>
        <v>83976518</v>
      </c>
      <c r="F9" s="24">
        <f t="shared" si="2"/>
        <v>83162339</v>
      </c>
      <c r="G9" s="25"/>
      <c r="H9" s="24">
        <f>SUM(F9-H7)</f>
        <v>82348163</v>
      </c>
      <c r="I9" s="24">
        <f>SUM(H9-I7)</f>
        <v>81533987</v>
      </c>
      <c r="J9" s="24">
        <f t="shared" ref="J9:S9" si="3">SUM(I9-J7)</f>
        <v>80719811</v>
      </c>
      <c r="K9" s="24">
        <f t="shared" si="3"/>
        <v>79905635</v>
      </c>
      <c r="L9" s="24">
        <f t="shared" si="3"/>
        <v>79091459</v>
      </c>
      <c r="M9" s="24">
        <f t="shared" si="3"/>
        <v>78277279</v>
      </c>
      <c r="N9" s="24">
        <f t="shared" si="3"/>
        <v>77463103</v>
      </c>
      <c r="O9" s="24">
        <f t="shared" si="3"/>
        <v>76648927</v>
      </c>
      <c r="P9" s="24">
        <f t="shared" si="3"/>
        <v>75834751</v>
      </c>
      <c r="Q9" s="24">
        <f t="shared" si="3"/>
        <v>75020575</v>
      </c>
      <c r="R9" s="24">
        <f t="shared" si="3"/>
        <v>74206399</v>
      </c>
      <c r="S9" s="24">
        <f t="shared" si="3"/>
        <v>73392219</v>
      </c>
      <c r="T9" s="25"/>
      <c r="U9" s="24">
        <f>SUM(S9-U7)</f>
        <v>72578043</v>
      </c>
      <c r="V9" s="24">
        <f>SUM(U9-V7)</f>
        <v>71763867</v>
      </c>
      <c r="W9" s="24">
        <f t="shared" ref="W9" si="4">SUM(V9-W7)</f>
        <v>70949691</v>
      </c>
      <c r="X9" s="24">
        <f t="shared" ref="X9" si="5">SUM(W9-X7)</f>
        <v>70135515</v>
      </c>
      <c r="Y9" s="24">
        <f t="shared" ref="Y9" si="6">SUM(X9-Y7)</f>
        <v>69321339</v>
      </c>
      <c r="Z9" s="24">
        <f t="shared" ref="Z9" si="7">SUM(Y9-Z7)</f>
        <v>68507159</v>
      </c>
      <c r="AA9" s="24">
        <f t="shared" ref="AA9" si="8">SUM(Z9-AA7)</f>
        <v>67692983</v>
      </c>
      <c r="AB9" s="24">
        <f t="shared" ref="AB9" si="9">SUM(AA9-AB7)</f>
        <v>66878807</v>
      </c>
      <c r="AC9" s="24">
        <f t="shared" ref="AC9" si="10">SUM(AB9-AC7)</f>
        <v>66064631</v>
      </c>
      <c r="AD9" s="24">
        <f t="shared" ref="AD9" si="11">SUM(AC9-AD7)</f>
        <v>65250455</v>
      </c>
      <c r="AE9" s="24">
        <f t="shared" ref="AE9" si="12">SUM(AD9-AE7)</f>
        <v>64436279</v>
      </c>
      <c r="AF9" s="24">
        <f t="shared" ref="AF9" si="13">SUM(AE9-AF7)</f>
        <v>63622099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4"/>
      <c r="C11" s="26">
        <v>600</v>
      </c>
      <c r="D11" s="26">
        <v>100</v>
      </c>
      <c r="E11" s="26">
        <v>100</v>
      </c>
      <c r="F11" s="26">
        <v>100</v>
      </c>
      <c r="G11" s="32"/>
      <c r="H11" s="32">
        <v>5980</v>
      </c>
      <c r="I11" s="32">
        <v>460</v>
      </c>
      <c r="J11" s="32">
        <v>460</v>
      </c>
      <c r="K11" s="32">
        <v>460</v>
      </c>
      <c r="L11" s="32">
        <v>460</v>
      </c>
      <c r="M11" s="32">
        <v>460</v>
      </c>
      <c r="N11" s="32">
        <v>460</v>
      </c>
      <c r="O11" s="32">
        <v>460</v>
      </c>
      <c r="P11" s="32">
        <v>460</v>
      </c>
      <c r="Q11" s="32">
        <v>460</v>
      </c>
      <c r="R11" s="32">
        <v>460</v>
      </c>
      <c r="S11" s="32">
        <v>402.5</v>
      </c>
      <c r="T11" s="32"/>
      <c r="U11" s="32">
        <v>201.25</v>
      </c>
      <c r="V11" s="32">
        <v>201.25</v>
      </c>
      <c r="W11" s="32">
        <v>420</v>
      </c>
      <c r="X11" s="32">
        <v>420</v>
      </c>
      <c r="Y11" s="32">
        <v>420</v>
      </c>
      <c r="Z11" s="32">
        <v>420</v>
      </c>
      <c r="AA11" s="32">
        <v>420</v>
      </c>
      <c r="AB11" s="32">
        <v>420</v>
      </c>
      <c r="AC11" s="32"/>
      <c r="AD11" s="32"/>
      <c r="AE11" s="32"/>
      <c r="AF11" s="32"/>
      <c r="AG11" s="64">
        <f>SUM(C11:AF11)</f>
        <v>14805</v>
      </c>
      <c r="AH11" t="s">
        <v>26</v>
      </c>
    </row>
    <row r="12" spans="1:34">
      <c r="A12" s="12" t="s">
        <v>12</v>
      </c>
      <c r="B12" s="26">
        <v>51904.57</v>
      </c>
      <c r="C12" s="26">
        <v>1173.44</v>
      </c>
      <c r="D12" s="26">
        <v>1091.1199999999999</v>
      </c>
      <c r="E12" s="26">
        <v>1194.44</v>
      </c>
      <c r="F12" s="26">
        <v>1191.44</v>
      </c>
      <c r="G12" s="32"/>
      <c r="H12" s="32">
        <v>4190.76</v>
      </c>
      <c r="I12" s="32">
        <v>7929.68</v>
      </c>
      <c r="J12" s="32">
        <v>1232.81</v>
      </c>
      <c r="K12" s="32">
        <v>1189.2</v>
      </c>
      <c r="L12" s="32">
        <v>1205.54</v>
      </c>
      <c r="M12" s="32">
        <v>1202.44</v>
      </c>
      <c r="N12" s="32">
        <v>1713.14</v>
      </c>
      <c r="O12" s="32">
        <v>1145.04</v>
      </c>
      <c r="P12" s="32">
        <v>1180.08</v>
      </c>
      <c r="Q12" s="32">
        <v>1168.25</v>
      </c>
      <c r="R12" s="32">
        <v>10730.52</v>
      </c>
      <c r="S12" s="32">
        <v>1146.74</v>
      </c>
      <c r="T12" s="32"/>
      <c r="U12" s="32">
        <v>1144.67</v>
      </c>
      <c r="V12" s="32">
        <v>1173.9100000000001</v>
      </c>
      <c r="W12" s="32">
        <v>7730.82</v>
      </c>
      <c r="X12" s="32">
        <v>3369.8</v>
      </c>
      <c r="Y12" s="32">
        <v>1109.42</v>
      </c>
      <c r="Z12" s="32">
        <v>1163.3599999999999</v>
      </c>
      <c r="AA12" s="32">
        <v>1161.42</v>
      </c>
      <c r="AB12" s="32">
        <v>1762.86</v>
      </c>
      <c r="AC12" s="32"/>
      <c r="AD12" s="32"/>
      <c r="AE12" s="32"/>
      <c r="AF12" s="32"/>
      <c r="AG12" s="64">
        <v>18055.099999999999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15631.24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4998.3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53489.64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SUM(C20*C5)</f>
        <v>-278252.73600000003</v>
      </c>
      <c r="D19" s="31">
        <f t="shared" ref="D19:S19" si="14">SUM(D20*D5)</f>
        <v>-184345.04879999999</v>
      </c>
      <c r="E19" s="31">
        <f t="shared" si="14"/>
        <v>-203663.35080000001</v>
      </c>
      <c r="F19" s="31">
        <f t="shared" si="14"/>
        <v>-192293.9136</v>
      </c>
      <c r="G19" s="31"/>
      <c r="H19" s="31">
        <f t="shared" si="14"/>
        <v>-1198994.6800000002</v>
      </c>
      <c r="I19" s="31">
        <f t="shared" si="14"/>
        <v>-376761.52640000003</v>
      </c>
      <c r="J19" s="31">
        <f t="shared" si="14"/>
        <v>623346.6716</v>
      </c>
      <c r="K19" s="31">
        <f t="shared" si="14"/>
        <v>618154.59200000006</v>
      </c>
      <c r="L19" s="31">
        <f t="shared" si="14"/>
        <v>646079.88280000002</v>
      </c>
      <c r="M19" s="31">
        <f t="shared" si="14"/>
        <v>638537.16399999987</v>
      </c>
      <c r="N19" s="31">
        <f t="shared" si="14"/>
        <v>553558.98509999993</v>
      </c>
      <c r="O19" s="31">
        <f t="shared" si="14"/>
        <v>630223.80960000015</v>
      </c>
      <c r="P19" s="31">
        <f t="shared" si="14"/>
        <v>595067.22019999998</v>
      </c>
      <c r="Q19" s="31">
        <f t="shared" si="14"/>
        <v>607319.86970000004</v>
      </c>
      <c r="R19" s="31">
        <f t="shared" si="14"/>
        <v>-775137.51990000019</v>
      </c>
      <c r="S19" s="31">
        <f t="shared" si="14"/>
        <v>636295.33309999993</v>
      </c>
      <c r="T19" s="31"/>
      <c r="U19" s="31">
        <f t="shared" ref="U19:AF19" si="15">SUM(U20*U5)</f>
        <v>52944.091199999981</v>
      </c>
      <c r="V19" s="31">
        <f t="shared" si="15"/>
        <v>-190745.05600000001</v>
      </c>
      <c r="W19" s="31">
        <f t="shared" si="15"/>
        <v>-330301.022</v>
      </c>
      <c r="X19" s="31">
        <f t="shared" si="15"/>
        <v>346183.62599999999</v>
      </c>
      <c r="Y19" s="31">
        <f t="shared" si="15"/>
        <v>699914.0048</v>
      </c>
      <c r="Z19" s="31">
        <f t="shared" si="15"/>
        <v>682367.18160000001</v>
      </c>
      <c r="AA19" s="31">
        <f t="shared" si="15"/>
        <v>692266.94619999989</v>
      </c>
      <c r="AB19" s="31">
        <f t="shared" si="15"/>
        <v>615480.44319999998</v>
      </c>
      <c r="AC19" s="31">
        <f t="shared" si="15"/>
        <v>0</v>
      </c>
      <c r="AD19" s="31">
        <f t="shared" si="15"/>
        <v>0</v>
      </c>
      <c r="AE19" s="31">
        <f t="shared" si="15"/>
        <v>0</v>
      </c>
      <c r="AF19" s="31">
        <f t="shared" si="15"/>
        <v>0</v>
      </c>
    </row>
    <row r="20" spans="1:32">
      <c r="A20" s="12" t="s">
        <v>20</v>
      </c>
      <c r="B20" s="29"/>
      <c r="C20" s="33">
        <f>SUM(C6-C11-C12)</f>
        <v>-1773.44</v>
      </c>
      <c r="D20" s="33">
        <f t="shared" ref="D20:S20" si="16">SUM(D6-D11-D12)</f>
        <v>-1176.1199999999999</v>
      </c>
      <c r="E20" s="33">
        <f t="shared" si="16"/>
        <v>-1264.44</v>
      </c>
      <c r="F20" s="33">
        <f t="shared" si="16"/>
        <v>-1261.44</v>
      </c>
      <c r="G20" s="33"/>
      <c r="H20" s="33">
        <f t="shared" si="16"/>
        <v>-8280.35</v>
      </c>
      <c r="I20" s="33">
        <f t="shared" si="16"/>
        <v>-2639.6800000000003</v>
      </c>
      <c r="J20" s="33">
        <f t="shared" si="16"/>
        <v>4057.19</v>
      </c>
      <c r="K20" s="33">
        <f t="shared" si="16"/>
        <v>4100.8</v>
      </c>
      <c r="L20" s="33">
        <f t="shared" si="16"/>
        <v>4084.46</v>
      </c>
      <c r="M20" s="33">
        <f t="shared" si="16"/>
        <v>4134.7999999999993</v>
      </c>
      <c r="N20" s="33">
        <f t="shared" si="16"/>
        <v>3698.5299999999997</v>
      </c>
      <c r="O20" s="33">
        <f t="shared" si="16"/>
        <v>4214.9800000000005</v>
      </c>
      <c r="P20" s="33">
        <f t="shared" si="16"/>
        <v>4173.8599999999997</v>
      </c>
      <c r="Q20" s="33">
        <f>SUM(Q6-Q11-Q12)</f>
        <v>4221.3100000000004</v>
      </c>
      <c r="R20" s="33">
        <f t="shared" si="16"/>
        <v>-5352.7900000000009</v>
      </c>
      <c r="S20" s="33">
        <f t="shared" si="16"/>
        <v>4259.29</v>
      </c>
      <c r="T20" s="33"/>
      <c r="U20" s="33">
        <f t="shared" ref="U20:AC20" si="17">SUM(U6-U11-U12)</f>
        <v>360.3599999999999</v>
      </c>
      <c r="V20" s="33">
        <f t="shared" si="17"/>
        <v>-1281.2</v>
      </c>
      <c r="W20" s="33">
        <f t="shared" si="17"/>
        <v>-2143.42</v>
      </c>
      <c r="X20" s="33">
        <f t="shared" si="17"/>
        <v>2210.1999999999998</v>
      </c>
      <c r="Y20" s="33">
        <f t="shared" si="17"/>
        <v>4470.58</v>
      </c>
      <c r="Z20" s="33">
        <f t="shared" si="17"/>
        <v>4440.76</v>
      </c>
      <c r="AA20" s="33">
        <f t="shared" si="17"/>
        <v>4443.0199999999995</v>
      </c>
      <c r="AB20" s="33">
        <f t="shared" si="17"/>
        <v>3849.6400000000003</v>
      </c>
      <c r="AC20" s="33">
        <f t="shared" si="17"/>
        <v>0</v>
      </c>
      <c r="AD20" s="33">
        <f>SUM(AD6-AD11-AD12)</f>
        <v>0</v>
      </c>
      <c r="AE20" s="33">
        <f t="shared" ref="AE20:AF20" si="18">SUM(AE6-AE11-AE12)</f>
        <v>0</v>
      </c>
      <c r="AF20" s="33">
        <f t="shared" si="18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4" spans="1:32">
      <c r="A24" s="12" t="s">
        <v>23</v>
      </c>
      <c r="B24" s="67">
        <v>45380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32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45535</v>
      </c>
      <c r="V26" s="42">
        <v>45565</v>
      </c>
      <c r="W26" s="44">
        <v>45596</v>
      </c>
      <c r="X26" s="44">
        <v>45626</v>
      </c>
      <c r="Y26" s="44">
        <v>45657</v>
      </c>
      <c r="Z26" s="42">
        <v>45688</v>
      </c>
      <c r="AA26" s="42">
        <v>45716</v>
      </c>
      <c r="AB26" s="42">
        <v>45747</v>
      </c>
      <c r="AC26" s="42">
        <v>45777</v>
      </c>
      <c r="AD26" s="42">
        <v>45808</v>
      </c>
      <c r="AE26" s="42">
        <v>45838</v>
      </c>
      <c r="AF26" s="42">
        <v>45869</v>
      </c>
    </row>
    <row r="27" spans="1:32">
      <c r="A27" s="12" t="s">
        <v>1</v>
      </c>
      <c r="B27" s="24">
        <f>B28*150</f>
        <v>168750000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1125000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>
      <c r="A29" s="12" t="s">
        <v>3</v>
      </c>
      <c r="B29" s="24">
        <f>B31*B30</f>
        <v>862500</v>
      </c>
      <c r="C29" s="24">
        <f>C30*C31</f>
        <v>0</v>
      </c>
      <c r="D29" s="24">
        <f>D30*D31</f>
        <v>2351.1000000000004</v>
      </c>
      <c r="E29" s="24">
        <f>E30*E31</f>
        <v>4832.0999999999995</v>
      </c>
      <c r="F29" s="24">
        <f>F30*F31</f>
        <v>4573.2</v>
      </c>
      <c r="G29" s="24"/>
      <c r="H29" s="24">
        <f t="shared" ref="H29:S29" si="19">H30*H31</f>
        <v>273731.36800000002</v>
      </c>
      <c r="I29" s="24">
        <f t="shared" si="19"/>
        <v>820697.49999999988</v>
      </c>
      <c r="J29" s="24">
        <f t="shared" si="19"/>
        <v>883429.99999999988</v>
      </c>
      <c r="K29" s="24">
        <f t="shared" si="19"/>
        <v>866755</v>
      </c>
      <c r="L29" s="24">
        <f t="shared" si="19"/>
        <v>909535</v>
      </c>
      <c r="M29" s="24">
        <f t="shared" si="19"/>
        <v>895267.77320000005</v>
      </c>
      <c r="N29" s="24">
        <f t="shared" si="19"/>
        <v>878812.84889999998</v>
      </c>
      <c r="O29" s="24">
        <f t="shared" si="19"/>
        <v>870209.39040000015</v>
      </c>
      <c r="P29" s="24">
        <f t="shared" si="19"/>
        <v>828893.42579999985</v>
      </c>
      <c r="Q29" s="24">
        <f t="shared" si="19"/>
        <v>841576.19720000005</v>
      </c>
      <c r="R29" s="24">
        <f t="shared" si="19"/>
        <v>845361.68129999994</v>
      </c>
      <c r="S29" s="24">
        <f t="shared" si="19"/>
        <v>867736.29669999983</v>
      </c>
      <c r="T29" s="24"/>
      <c r="U29" s="24">
        <f t="shared" ref="U29:AF29" si="20">U30*U31</f>
        <v>250686.65759999998</v>
      </c>
      <c r="V29" s="24">
        <f t="shared" si="20"/>
        <v>13988.764799999999</v>
      </c>
      <c r="W29" s="24">
        <f t="shared" si="20"/>
        <v>925740.34</v>
      </c>
      <c r="X29" s="24">
        <f t="shared" si="20"/>
        <v>939780</v>
      </c>
      <c r="Y29" s="24">
        <f t="shared" si="20"/>
        <v>939360</v>
      </c>
      <c r="Z29" s="24">
        <f t="shared" si="20"/>
        <v>925666.27919999999</v>
      </c>
      <c r="AA29" s="24">
        <f t="shared" si="20"/>
        <v>938667.99639999995</v>
      </c>
      <c r="AB29" s="24">
        <f t="shared" si="20"/>
        <v>964476.1</v>
      </c>
      <c r="AC29" s="24">
        <f t="shared" si="20"/>
        <v>0</v>
      </c>
      <c r="AD29" s="24">
        <f t="shared" si="20"/>
        <v>0</v>
      </c>
      <c r="AE29" s="24">
        <f t="shared" si="20"/>
        <v>0</v>
      </c>
      <c r="AF29" s="24">
        <f t="shared" si="20"/>
        <v>0</v>
      </c>
    </row>
    <row r="30" spans="1:32">
      <c r="A30" s="12" t="s">
        <v>4</v>
      </c>
      <c r="B30" s="26"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>
        <v>5750</v>
      </c>
      <c r="C31" s="26">
        <v>0</v>
      </c>
      <c r="D31" s="26">
        <v>15</v>
      </c>
      <c r="E31" s="26">
        <v>30</v>
      </c>
      <c r="F31" s="26">
        <v>30</v>
      </c>
      <c r="G31" s="26"/>
      <c r="H31" s="26">
        <v>1890.41</v>
      </c>
      <c r="I31" s="26">
        <v>5750</v>
      </c>
      <c r="J31" s="26">
        <v>5750</v>
      </c>
      <c r="K31" s="26">
        <v>5750</v>
      </c>
      <c r="L31" s="26">
        <v>5750</v>
      </c>
      <c r="M31" s="26">
        <v>5797.24</v>
      </c>
      <c r="N31" s="26">
        <v>5871.67</v>
      </c>
      <c r="O31" s="26">
        <v>5820.02</v>
      </c>
      <c r="P31" s="26">
        <v>5813.94</v>
      </c>
      <c r="Q31" s="26">
        <v>5849.56</v>
      </c>
      <c r="R31" s="26">
        <v>5837.73</v>
      </c>
      <c r="S31" s="26">
        <v>5808.53</v>
      </c>
      <c r="T31" s="26"/>
      <c r="U31" s="26">
        <v>1706.28</v>
      </c>
      <c r="V31" s="26">
        <v>93.96</v>
      </c>
      <c r="W31" s="26">
        <v>6007.4</v>
      </c>
      <c r="X31" s="26">
        <v>6000</v>
      </c>
      <c r="Y31" s="26">
        <v>6000</v>
      </c>
      <c r="Z31" s="26">
        <v>6024.12</v>
      </c>
      <c r="AA31" s="26">
        <v>6024.44</v>
      </c>
      <c r="AB31" s="26">
        <v>6032.5</v>
      </c>
      <c r="AC31" s="26"/>
      <c r="AD31" s="26"/>
      <c r="AE31" s="26"/>
      <c r="AF31" s="26"/>
    </row>
    <row r="32" spans="1:32">
      <c r="A32" s="12" t="s">
        <v>7</v>
      </c>
      <c r="B32" s="24">
        <v>87233222</v>
      </c>
      <c r="C32" s="24">
        <v>814176</v>
      </c>
      <c r="D32" s="24">
        <v>814176</v>
      </c>
      <c r="E32" s="24">
        <v>814176</v>
      </c>
      <c r="F32" s="24">
        <v>814179</v>
      </c>
      <c r="G32" s="25"/>
      <c r="H32" s="24">
        <v>814176</v>
      </c>
      <c r="I32" s="24">
        <v>814176</v>
      </c>
      <c r="J32" s="24">
        <v>814176</v>
      </c>
      <c r="K32" s="24">
        <v>814176</v>
      </c>
      <c r="L32" s="24">
        <v>814176</v>
      </c>
      <c r="M32" s="24">
        <v>814180</v>
      </c>
      <c r="N32" s="24">
        <v>814176</v>
      </c>
      <c r="O32" s="24">
        <v>814176</v>
      </c>
      <c r="P32" s="24">
        <v>814176</v>
      </c>
      <c r="Q32" s="24">
        <v>814176</v>
      </c>
      <c r="R32" s="24">
        <v>814176</v>
      </c>
      <c r="S32" s="24">
        <v>814180</v>
      </c>
      <c r="T32" s="25"/>
      <c r="U32" s="24">
        <v>814176</v>
      </c>
      <c r="V32" s="24">
        <v>814176</v>
      </c>
      <c r="W32" s="24">
        <v>814176</v>
      </c>
      <c r="X32" s="24">
        <v>814176</v>
      </c>
      <c r="Y32" s="24">
        <v>814176</v>
      </c>
      <c r="Z32" s="24">
        <v>814180</v>
      </c>
      <c r="AA32" s="24">
        <v>814176</v>
      </c>
      <c r="AB32" s="24">
        <v>814176</v>
      </c>
      <c r="AC32" s="24">
        <v>814176</v>
      </c>
      <c r="AD32" s="24">
        <v>814176</v>
      </c>
      <c r="AE32" s="24">
        <v>814176</v>
      </c>
      <c r="AF32" s="24">
        <v>814180</v>
      </c>
    </row>
    <row r="33" spans="1:32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>
      <c r="A34" s="12" t="s">
        <v>9</v>
      </c>
      <c r="B34" s="24">
        <f>SUM(B32-C32)</f>
        <v>86419046</v>
      </c>
      <c r="C34" s="24">
        <f>SUM(B34-C32)</f>
        <v>85604870</v>
      </c>
      <c r="D34" s="24">
        <f t="shared" ref="D34" si="21">SUM(C34-D32)</f>
        <v>84790694</v>
      </c>
      <c r="E34" s="24">
        <f t="shared" ref="E34" si="22">SUM(D34-E32)</f>
        <v>83976518</v>
      </c>
      <c r="F34" s="24">
        <f t="shared" ref="F34" si="23">SUM(E34-F32)</f>
        <v>83162339</v>
      </c>
      <c r="G34" s="25"/>
      <c r="H34" s="24">
        <f>SUM(F34-H32)</f>
        <v>82348163</v>
      </c>
      <c r="I34" s="24">
        <f>SUM(H34-I32)</f>
        <v>81533987</v>
      </c>
      <c r="J34" s="24">
        <f t="shared" ref="J34" si="24">SUM(I34-J32)</f>
        <v>80719811</v>
      </c>
      <c r="K34" s="24">
        <f t="shared" ref="K34" si="25">SUM(J34-K32)</f>
        <v>79905635</v>
      </c>
      <c r="L34" s="24">
        <f t="shared" ref="L34" si="26">SUM(K34-L32)</f>
        <v>79091459</v>
      </c>
      <c r="M34" s="24">
        <f t="shared" ref="M34" si="27">SUM(L34-M32)</f>
        <v>78277279</v>
      </c>
      <c r="N34" s="24">
        <f t="shared" ref="N34" si="28">SUM(M34-N32)</f>
        <v>77463103</v>
      </c>
      <c r="O34" s="24">
        <f t="shared" ref="O34" si="29">SUM(N34-O32)</f>
        <v>76648927</v>
      </c>
      <c r="P34" s="24">
        <f t="shared" ref="P34" si="30">SUM(O34-P32)</f>
        <v>75834751</v>
      </c>
      <c r="Q34" s="24">
        <f t="shared" ref="Q34" si="31">SUM(P34-Q32)</f>
        <v>75020575</v>
      </c>
      <c r="R34" s="24">
        <f t="shared" ref="R34" si="32">SUM(Q34-R32)</f>
        <v>74206399</v>
      </c>
      <c r="S34" s="24">
        <f t="shared" ref="S34" si="33">SUM(R34-S32)</f>
        <v>73392219</v>
      </c>
      <c r="T34" s="25"/>
      <c r="U34" s="24">
        <f>SUM(S34-U32)</f>
        <v>72578043</v>
      </c>
      <c r="V34" s="24">
        <f>SUM(U34-V32)</f>
        <v>71763867</v>
      </c>
      <c r="W34" s="24">
        <f t="shared" ref="W34" si="34">SUM(V34-W32)</f>
        <v>70949691</v>
      </c>
      <c r="X34" s="24">
        <f t="shared" ref="X34" si="35">SUM(W34-X32)</f>
        <v>70135515</v>
      </c>
      <c r="Y34" s="24">
        <f t="shared" ref="Y34" si="36">SUM(X34-Y32)</f>
        <v>69321339</v>
      </c>
      <c r="Z34" s="24">
        <f t="shared" ref="Z34" si="37">SUM(Y34-Z32)</f>
        <v>68507159</v>
      </c>
      <c r="AA34" s="24">
        <f t="shared" ref="AA34" si="38">SUM(Z34-AA32)</f>
        <v>67692983</v>
      </c>
      <c r="AB34" s="24">
        <f t="shared" ref="AB34" si="39">SUM(AA34-AB32)</f>
        <v>66878807</v>
      </c>
      <c r="AC34" s="24">
        <f t="shared" ref="AC34" si="40">SUM(AB34-AC32)</f>
        <v>66064631</v>
      </c>
      <c r="AD34" s="24">
        <f t="shared" ref="AD34" si="41">SUM(AC34-AD32)</f>
        <v>65250455</v>
      </c>
      <c r="AE34" s="24">
        <f t="shared" ref="AE34" si="42">SUM(AD34-AE32)</f>
        <v>64436279</v>
      </c>
      <c r="AF34" s="24">
        <f t="shared" ref="AF34" si="43">SUM(AE34-AF32)</f>
        <v>63622099</v>
      </c>
    </row>
    <row r="35" spans="1:32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>
      <c r="A36" s="12" t="s">
        <v>11</v>
      </c>
      <c r="B36" s="24"/>
      <c r="C36" s="26">
        <v>600</v>
      </c>
      <c r="D36" s="26">
        <v>100</v>
      </c>
      <c r="E36" s="26">
        <v>100</v>
      </c>
      <c r="F36" s="26">
        <v>100</v>
      </c>
      <c r="G36" s="32"/>
      <c r="H36" s="32">
        <v>5980</v>
      </c>
      <c r="I36" s="32">
        <v>460</v>
      </c>
      <c r="J36" s="32">
        <v>460</v>
      </c>
      <c r="K36" s="32">
        <v>460</v>
      </c>
      <c r="L36" s="32">
        <v>460</v>
      </c>
      <c r="M36" s="32">
        <v>460</v>
      </c>
      <c r="N36" s="32">
        <v>460</v>
      </c>
      <c r="O36" s="32">
        <v>460</v>
      </c>
      <c r="P36" s="32">
        <v>460</v>
      </c>
      <c r="Q36" s="32">
        <v>460</v>
      </c>
      <c r="R36" s="32">
        <v>460</v>
      </c>
      <c r="S36" s="32">
        <v>402.5</v>
      </c>
      <c r="T36" s="32"/>
      <c r="U36" s="32">
        <v>201.25</v>
      </c>
      <c r="V36" s="32">
        <v>201.25</v>
      </c>
      <c r="W36" s="32">
        <v>420</v>
      </c>
      <c r="X36" s="32">
        <v>420</v>
      </c>
      <c r="Y36" s="32">
        <v>420</v>
      </c>
      <c r="Z36" s="32">
        <v>420</v>
      </c>
      <c r="AA36" s="32">
        <v>420</v>
      </c>
      <c r="AB36" s="32"/>
      <c r="AC36" s="32"/>
      <c r="AD36" s="32"/>
      <c r="AE36" s="32"/>
      <c r="AF36" s="32"/>
    </row>
    <row r="37" spans="1:32">
      <c r="A37" s="12" t="s">
        <v>12</v>
      </c>
      <c r="B37" s="26">
        <v>51904.57</v>
      </c>
      <c r="C37" s="26">
        <v>1173.44</v>
      </c>
      <c r="D37" s="26">
        <v>1091.1199999999999</v>
      </c>
      <c r="E37" s="26">
        <v>1191.44</v>
      </c>
      <c r="F37" s="26">
        <v>1191.44</v>
      </c>
      <c r="G37" s="32"/>
      <c r="H37" s="32">
        <v>4190.76</v>
      </c>
      <c r="I37" s="32">
        <v>2251.2800000000002</v>
      </c>
      <c r="J37" s="32">
        <v>1942.61</v>
      </c>
      <c r="K37" s="32">
        <v>1899</v>
      </c>
      <c r="L37" s="32">
        <v>1915.34</v>
      </c>
      <c r="M37" s="32">
        <v>1912.24</v>
      </c>
      <c r="N37" s="32">
        <v>2422.94</v>
      </c>
      <c r="O37" s="32">
        <v>1854.84</v>
      </c>
      <c r="P37" s="32">
        <v>1889.88</v>
      </c>
      <c r="Q37" s="32">
        <v>1878.05</v>
      </c>
      <c r="R37" s="32">
        <v>2257.66</v>
      </c>
      <c r="S37" s="32">
        <v>1917</v>
      </c>
      <c r="U37" s="32">
        <v>1914.93</v>
      </c>
      <c r="V37" s="32">
        <v>1944.17</v>
      </c>
      <c r="W37" s="32">
        <v>8501.08</v>
      </c>
      <c r="X37" s="32">
        <v>4140.0600000000004</v>
      </c>
      <c r="Y37" s="32">
        <v>1879.68</v>
      </c>
      <c r="Z37" s="32">
        <v>1933.62</v>
      </c>
      <c r="AA37" s="32">
        <v>1931.68</v>
      </c>
      <c r="AB37" s="32">
        <v>770.26</v>
      </c>
      <c r="AC37" s="32">
        <v>770.26</v>
      </c>
      <c r="AD37" s="32">
        <v>770.26</v>
      </c>
      <c r="AE37" s="32"/>
      <c r="AF37" s="32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SUM(C45*C30)</f>
        <v>-278252.73600000003</v>
      </c>
      <c r="D44" s="31">
        <f t="shared" ref="D44:F44" si="44">SUM(D45*D30)</f>
        <v>-184345.04879999999</v>
      </c>
      <c r="E44" s="31">
        <f t="shared" si="44"/>
        <v>-203180.14079999999</v>
      </c>
      <c r="F44" s="31">
        <f t="shared" si="44"/>
        <v>-192293.9136</v>
      </c>
      <c r="G44" s="31"/>
      <c r="H44" s="31">
        <f t="shared" ref="H44:S44" si="45">SUM(H45*H30)</f>
        <v>-1198994.6800000002</v>
      </c>
      <c r="I44" s="31">
        <f t="shared" si="45"/>
        <v>433716.50559999992</v>
      </c>
      <c r="J44" s="31">
        <f t="shared" si="45"/>
        <v>514292.99959999998</v>
      </c>
      <c r="K44" s="31">
        <f t="shared" si="45"/>
        <v>511159.34</v>
      </c>
      <c r="L44" s="31">
        <f t="shared" si="45"/>
        <v>533803.71880000003</v>
      </c>
      <c r="M44" s="31">
        <f t="shared" si="45"/>
        <v>528922.75</v>
      </c>
      <c r="N44" s="31">
        <f t="shared" si="45"/>
        <v>447323.21909999999</v>
      </c>
      <c r="O44" s="31">
        <f t="shared" si="45"/>
        <v>524094.51360000006</v>
      </c>
      <c r="P44" s="31">
        <f t="shared" si="45"/>
        <v>493871.03419999988</v>
      </c>
      <c r="Q44" s="31">
        <f t="shared" si="45"/>
        <v>505200.94370000006</v>
      </c>
      <c r="R44" s="31">
        <f t="shared" si="45"/>
        <v>451817.33669999999</v>
      </c>
      <c r="S44" s="31">
        <f t="shared" si="45"/>
        <v>521226.19169999991</v>
      </c>
      <c r="T44" s="31"/>
      <c r="U44" s="31">
        <f t="shared" ref="U44:AF44" si="46">SUM(U45*U30)</f>
        <v>-60222.508000000009</v>
      </c>
      <c r="V44" s="31">
        <f t="shared" si="46"/>
        <v>-305421.36479999998</v>
      </c>
      <c r="W44" s="31">
        <f t="shared" si="46"/>
        <v>-448998.08800000005</v>
      </c>
      <c r="X44" s="31">
        <f t="shared" si="46"/>
        <v>225537.80219999992</v>
      </c>
      <c r="Y44" s="31">
        <f t="shared" si="46"/>
        <v>579322.09919999994</v>
      </c>
      <c r="Z44" s="31">
        <f t="shared" si="46"/>
        <v>564009.03</v>
      </c>
      <c r="AA44" s="31">
        <f t="shared" si="46"/>
        <v>572252.7355999999</v>
      </c>
      <c r="AB44" s="31">
        <f t="shared" si="46"/>
        <v>841326.93119999999</v>
      </c>
      <c r="AC44" s="31">
        <f t="shared" si="46"/>
        <v>-123542.00139999999</v>
      </c>
      <c r="AD44" s="31">
        <f t="shared" si="46"/>
        <v>0</v>
      </c>
      <c r="AE44" s="31">
        <f t="shared" si="46"/>
        <v>0</v>
      </c>
      <c r="AF44" s="31">
        <f t="shared" si="46"/>
        <v>0</v>
      </c>
    </row>
    <row r="45" spans="1:32" s="64" customFormat="1">
      <c r="A45" s="63" t="s">
        <v>20</v>
      </c>
      <c r="B45" s="33"/>
      <c r="C45" s="33">
        <f>SUM(C31-C36-C37)</f>
        <v>-1773.44</v>
      </c>
      <c r="D45" s="33">
        <f t="shared" ref="D45:F45" si="47">SUM(D31-D36-D37)</f>
        <v>-1176.1199999999999</v>
      </c>
      <c r="E45" s="33">
        <f t="shared" si="47"/>
        <v>-1261.44</v>
      </c>
      <c r="F45" s="33">
        <f t="shared" si="47"/>
        <v>-1261.44</v>
      </c>
      <c r="G45" s="33"/>
      <c r="H45" s="33">
        <f t="shared" ref="H45:S45" si="48">SUM(H31-H36-H37)</f>
        <v>-8280.35</v>
      </c>
      <c r="I45" s="33">
        <f t="shared" si="48"/>
        <v>3038.72</v>
      </c>
      <c r="J45" s="33">
        <f t="shared" si="48"/>
        <v>3347.3900000000003</v>
      </c>
      <c r="K45" s="33">
        <f t="shared" si="48"/>
        <v>3391</v>
      </c>
      <c r="L45" s="33">
        <f t="shared" si="48"/>
        <v>3374.66</v>
      </c>
      <c r="M45" s="33">
        <f t="shared" si="48"/>
        <v>3425</v>
      </c>
      <c r="N45" s="33">
        <f t="shared" si="48"/>
        <v>2988.73</v>
      </c>
      <c r="O45" s="33">
        <f t="shared" si="48"/>
        <v>3505.1800000000003</v>
      </c>
      <c r="P45" s="33">
        <f t="shared" si="48"/>
        <v>3464.0599999999995</v>
      </c>
      <c r="Q45" s="33">
        <f t="shared" si="48"/>
        <v>3511.51</v>
      </c>
      <c r="R45" s="33">
        <f t="shared" si="48"/>
        <v>3120.0699999999997</v>
      </c>
      <c r="S45" s="33">
        <f t="shared" si="48"/>
        <v>3489.0299999999997</v>
      </c>
      <c r="T45" s="33"/>
      <c r="U45" s="33">
        <f t="shared" ref="U45:AF45" si="49">SUM(U31-U36-U37)</f>
        <v>-409.90000000000009</v>
      </c>
      <c r="V45" s="33">
        <f t="shared" si="49"/>
        <v>-2051.46</v>
      </c>
      <c r="W45" s="33">
        <f t="shared" si="49"/>
        <v>-2913.6800000000003</v>
      </c>
      <c r="X45" s="33">
        <f t="shared" si="49"/>
        <v>1439.9399999999996</v>
      </c>
      <c r="Y45" s="33">
        <f t="shared" si="49"/>
        <v>3700.3199999999997</v>
      </c>
      <c r="Z45" s="33">
        <f t="shared" si="49"/>
        <v>3670.5</v>
      </c>
      <c r="AA45" s="33">
        <f t="shared" si="49"/>
        <v>3672.7599999999993</v>
      </c>
      <c r="AB45" s="33">
        <f t="shared" si="49"/>
        <v>5262.24</v>
      </c>
      <c r="AC45" s="33">
        <f t="shared" si="49"/>
        <v>-770.26</v>
      </c>
      <c r="AD45" s="33">
        <f t="shared" si="49"/>
        <v>-770.26</v>
      </c>
      <c r="AE45" s="33">
        <f t="shared" si="49"/>
        <v>0</v>
      </c>
      <c r="AF45" s="33">
        <f t="shared" si="49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51" spans="17:19">
      <c r="R51" s="58">
        <v>9243.07</v>
      </c>
      <c r="S51" s="58"/>
    </row>
    <row r="52" spans="17:19">
      <c r="Q52">
        <v>1</v>
      </c>
      <c r="R52" s="58">
        <v>770.21</v>
      </c>
      <c r="S52" s="58"/>
    </row>
    <row r="53" spans="17:19">
      <c r="Q53">
        <v>2</v>
      </c>
      <c r="R53" s="58">
        <v>770.26</v>
      </c>
      <c r="S53" s="58"/>
    </row>
    <row r="54" spans="17:19">
      <c r="Q54">
        <v>3</v>
      </c>
      <c r="R54" s="58">
        <v>770.26</v>
      </c>
      <c r="S54" s="58"/>
    </row>
    <row r="55" spans="17:19">
      <c r="Q55">
        <v>4</v>
      </c>
      <c r="R55" s="58">
        <v>770.26</v>
      </c>
      <c r="S55" s="58"/>
    </row>
    <row r="56" spans="17:19">
      <c r="Q56">
        <v>5</v>
      </c>
      <c r="R56" s="58">
        <v>770.26</v>
      </c>
      <c r="S56" s="58"/>
    </row>
    <row r="57" spans="17:19">
      <c r="Q57">
        <v>6</v>
      </c>
      <c r="R57" s="58">
        <v>770.26</v>
      </c>
      <c r="S57" s="58"/>
    </row>
    <row r="58" spans="17:19">
      <c r="Q58">
        <v>7</v>
      </c>
      <c r="R58" s="58">
        <v>770.26</v>
      </c>
      <c r="S58" s="58"/>
    </row>
    <row r="59" spans="17:19">
      <c r="Q59">
        <v>8</v>
      </c>
      <c r="R59" s="58">
        <v>770.26</v>
      </c>
      <c r="S59" s="58"/>
    </row>
    <row r="60" spans="17:19">
      <c r="Q60">
        <v>9</v>
      </c>
      <c r="R60" s="58">
        <v>770.26</v>
      </c>
      <c r="S60" s="58"/>
    </row>
    <row r="61" spans="17:19">
      <c r="Q61">
        <v>10</v>
      </c>
      <c r="R61" s="58">
        <v>770.26</v>
      </c>
      <c r="S61" s="58"/>
    </row>
    <row r="62" spans="17:19">
      <c r="Q62">
        <v>11</v>
      </c>
      <c r="R62" s="58">
        <v>770.26</v>
      </c>
      <c r="S62" s="58"/>
    </row>
    <row r="63" spans="17:19">
      <c r="Q63">
        <v>12</v>
      </c>
      <c r="R63" s="58">
        <v>770.26</v>
      </c>
      <c r="S63" s="58"/>
    </row>
    <row r="64" spans="17:19">
      <c r="R64" s="58">
        <f>SUM(R52:R63)</f>
        <v>9243.0700000000015</v>
      </c>
      <c r="S64" s="58"/>
    </row>
  </sheetData>
  <phoneticPr fontId="2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E723-60BF-4AA2-A1C9-8D82B3C35160}">
  <dimension ref="A1:AH62"/>
  <sheetViews>
    <sheetView zoomScale="90" zoomScaleNormal="90" workbookViewId="0">
      <pane xSplit="1" ySplit="1" topLeftCell="P2" activePane="bottomRight" state="frozen"/>
      <selection pane="bottomRight" activeCell="AC6" sqref="AC6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3.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0.375" bestFit="1" customWidth="1"/>
    <col min="23" max="25" width="11.25" bestFit="1" customWidth="1"/>
    <col min="26" max="32" width="10.375" bestFit="1" customWidth="1"/>
    <col min="33" max="33" width="9.375" bestFit="1" customWidth="1"/>
  </cols>
  <sheetData>
    <row r="1" spans="1:34">
      <c r="A1" s="23" t="s">
        <v>33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126225000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841500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B6*B5</f>
        <v>660000</v>
      </c>
      <c r="C4" s="24">
        <f>C5*C6</f>
        <v>0</v>
      </c>
      <c r="D4" s="24">
        <f>D5*D6</f>
        <v>78370</v>
      </c>
      <c r="E4" s="24">
        <f>E5*E6</f>
        <v>0</v>
      </c>
      <c r="F4" s="24">
        <f t="shared" ref="F4:S4" si="0">F5*F6</f>
        <v>655492</v>
      </c>
      <c r="G4" s="24"/>
      <c r="H4" s="24">
        <f t="shared" si="0"/>
        <v>622640</v>
      </c>
      <c r="I4" s="24">
        <f t="shared" si="0"/>
        <v>613739</v>
      </c>
      <c r="J4" s="24">
        <f t="shared" si="0"/>
        <v>660651.99999999988</v>
      </c>
      <c r="K4" s="24">
        <f t="shared" si="0"/>
        <v>648182</v>
      </c>
      <c r="L4" s="24">
        <f t="shared" si="0"/>
        <v>680174</v>
      </c>
      <c r="M4" s="24">
        <f t="shared" si="0"/>
        <v>664049</v>
      </c>
      <c r="N4" s="24">
        <f t="shared" si="0"/>
        <v>643581</v>
      </c>
      <c r="O4" s="24">
        <f t="shared" si="0"/>
        <v>642936</v>
      </c>
      <c r="P4" s="24">
        <f t="shared" si="0"/>
        <v>613051</v>
      </c>
      <c r="Q4" s="24">
        <f t="shared" si="0"/>
        <v>618641</v>
      </c>
      <c r="R4" s="24">
        <f t="shared" si="0"/>
        <v>622683</v>
      </c>
      <c r="S4" s="24">
        <f t="shared" si="0"/>
        <v>657315.99999999988</v>
      </c>
      <c r="T4" s="24"/>
      <c r="U4" s="24">
        <f t="shared" ref="U4:AF4" si="1">U5*U6</f>
        <v>646448</v>
      </c>
      <c r="V4" s="24">
        <f t="shared" si="1"/>
        <v>655072</v>
      </c>
      <c r="W4" s="24">
        <f t="shared" si="1"/>
        <v>678040</v>
      </c>
      <c r="X4" s="24">
        <f t="shared" si="1"/>
        <v>689172</v>
      </c>
      <c r="Y4" s="24">
        <f t="shared" si="1"/>
        <v>688864</v>
      </c>
      <c r="Z4" s="24">
        <f t="shared" si="1"/>
        <v>676104</v>
      </c>
      <c r="AA4" s="24">
        <f t="shared" si="1"/>
        <v>685564</v>
      </c>
      <c r="AB4" s="24">
        <f t="shared" si="1"/>
        <v>703472</v>
      </c>
      <c r="AC4" s="24">
        <f t="shared" si="1"/>
        <v>705715.99999999988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4400</v>
      </c>
      <c r="C6" s="26">
        <v>0</v>
      </c>
      <c r="D6" s="26">
        <v>500</v>
      </c>
      <c r="E6" s="26">
        <v>0</v>
      </c>
      <c r="F6" s="26">
        <v>4300</v>
      </c>
      <c r="G6" s="26"/>
      <c r="H6" s="26">
        <v>4300</v>
      </c>
      <c r="I6" s="26">
        <v>4300</v>
      </c>
      <c r="J6" s="26">
        <v>4300</v>
      </c>
      <c r="K6" s="26">
        <v>4300</v>
      </c>
      <c r="L6" s="26">
        <v>4300</v>
      </c>
      <c r="M6" s="26">
        <v>4300</v>
      </c>
      <c r="N6" s="26">
        <v>4300</v>
      </c>
      <c r="O6" s="26">
        <v>4300</v>
      </c>
      <c r="P6" s="26">
        <v>4300</v>
      </c>
      <c r="Q6" s="26">
        <v>4300</v>
      </c>
      <c r="R6" s="26">
        <v>4300</v>
      </c>
      <c r="S6" s="26">
        <v>4400</v>
      </c>
      <c r="T6" s="26"/>
      <c r="U6" s="26">
        <v>4400</v>
      </c>
      <c r="V6" s="26">
        <v>4400</v>
      </c>
      <c r="W6" s="26">
        <v>4400</v>
      </c>
      <c r="X6" s="26">
        <v>4400</v>
      </c>
      <c r="Y6" s="26">
        <v>4400</v>
      </c>
      <c r="Z6" s="26">
        <v>4400</v>
      </c>
      <c r="AA6" s="26">
        <v>4400</v>
      </c>
      <c r="AB6" s="26">
        <v>4400</v>
      </c>
      <c r="AC6" s="26">
        <v>4400</v>
      </c>
      <c r="AD6" s="26"/>
      <c r="AE6" s="26"/>
      <c r="AF6" s="26"/>
    </row>
    <row r="7" spans="1:34">
      <c r="A7" s="12" t="s">
        <v>7</v>
      </c>
      <c r="B7" s="24">
        <v>115159974</v>
      </c>
      <c r="C7" s="24">
        <v>1074826</v>
      </c>
      <c r="D7" s="24">
        <v>1074826</v>
      </c>
      <c r="E7" s="24">
        <v>1074826</v>
      </c>
      <c r="F7" s="24">
        <v>1074827</v>
      </c>
      <c r="G7" s="25"/>
      <c r="H7" s="25">
        <v>1074826</v>
      </c>
      <c r="I7" s="25">
        <v>1074826</v>
      </c>
      <c r="J7" s="25">
        <v>1074826</v>
      </c>
      <c r="K7" s="25">
        <v>1074826</v>
      </c>
      <c r="L7" s="25">
        <v>1074826</v>
      </c>
      <c r="M7" s="25">
        <v>1074828</v>
      </c>
      <c r="N7" s="25">
        <v>1074826</v>
      </c>
      <c r="O7" s="25">
        <v>1074826</v>
      </c>
      <c r="P7" s="25">
        <v>1074826</v>
      </c>
      <c r="Q7" s="25">
        <v>1074826</v>
      </c>
      <c r="R7" s="25">
        <v>1074826</v>
      </c>
      <c r="S7" s="25">
        <v>1074829</v>
      </c>
      <c r="T7" s="25"/>
      <c r="U7" s="25">
        <v>1074826</v>
      </c>
      <c r="V7" s="25">
        <v>1074826</v>
      </c>
      <c r="W7" s="25">
        <v>1074826</v>
      </c>
      <c r="X7" s="25">
        <v>1074826</v>
      </c>
      <c r="Y7" s="25">
        <v>1074826</v>
      </c>
      <c r="Z7" s="25">
        <v>1074828</v>
      </c>
      <c r="AA7" s="25">
        <v>1074826</v>
      </c>
      <c r="AB7" s="25">
        <v>1074826</v>
      </c>
      <c r="AC7" s="25">
        <v>1074826</v>
      </c>
      <c r="AD7" s="25">
        <v>1074826</v>
      </c>
      <c r="AE7" s="25">
        <v>1074826</v>
      </c>
      <c r="AF7" s="25">
        <v>1074829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115159974</v>
      </c>
      <c r="C9" s="24">
        <f>SUM(B7-C7)</f>
        <v>114085148</v>
      </c>
      <c r="D9" s="24">
        <f>SUM(C9-D7)</f>
        <v>113010322</v>
      </c>
      <c r="E9" s="24">
        <f t="shared" ref="E9:F9" si="2">SUM(D9-E7)</f>
        <v>111935496</v>
      </c>
      <c r="F9" s="24">
        <f t="shared" si="2"/>
        <v>110860669</v>
      </c>
      <c r="G9" s="25"/>
      <c r="H9" s="24">
        <f>SUM(F9-H7)</f>
        <v>109785843</v>
      </c>
      <c r="I9" s="24">
        <f>SUM(H9-I7)</f>
        <v>108711017</v>
      </c>
      <c r="J9" s="24">
        <f t="shared" ref="J9:S9" si="3">SUM(I9-J7)</f>
        <v>107636191</v>
      </c>
      <c r="K9" s="24">
        <f t="shared" si="3"/>
        <v>106561365</v>
      </c>
      <c r="L9" s="24">
        <f t="shared" si="3"/>
        <v>105486539</v>
      </c>
      <c r="M9" s="24">
        <f t="shared" si="3"/>
        <v>104411711</v>
      </c>
      <c r="N9" s="24">
        <f t="shared" si="3"/>
        <v>103336885</v>
      </c>
      <c r="O9" s="24">
        <f t="shared" si="3"/>
        <v>102262059</v>
      </c>
      <c r="P9" s="24">
        <f t="shared" si="3"/>
        <v>101187233</v>
      </c>
      <c r="Q9" s="24">
        <f t="shared" si="3"/>
        <v>100112407</v>
      </c>
      <c r="R9" s="24">
        <f t="shared" si="3"/>
        <v>99037581</v>
      </c>
      <c r="S9" s="24">
        <f t="shared" si="3"/>
        <v>97962752</v>
      </c>
      <c r="T9" s="25"/>
      <c r="U9" s="24">
        <f>SUM(S9-U7)</f>
        <v>96887926</v>
      </c>
      <c r="V9" s="24">
        <f>SUM(U9-V7)</f>
        <v>95813100</v>
      </c>
      <c r="W9" s="24">
        <f t="shared" ref="W9" si="4">SUM(V9-W7)</f>
        <v>94738274</v>
      </c>
      <c r="X9" s="24">
        <f t="shared" ref="X9" si="5">SUM(W9-X7)</f>
        <v>93663448</v>
      </c>
      <c r="Y9" s="24">
        <f t="shared" ref="Y9" si="6">SUM(X9-Y7)</f>
        <v>92588622</v>
      </c>
      <c r="Z9" s="24">
        <f t="shared" ref="Z9" si="7">SUM(Y9-Z7)</f>
        <v>91513794</v>
      </c>
      <c r="AA9" s="24">
        <f t="shared" ref="AA9" si="8">SUM(Z9-AA7)</f>
        <v>90438968</v>
      </c>
      <c r="AB9" s="24">
        <f t="shared" ref="AB9" si="9">SUM(AA9-AB7)</f>
        <v>89364142</v>
      </c>
      <c r="AC9" s="24">
        <f t="shared" ref="AC9" si="10">SUM(AB9-AC7)</f>
        <v>88289316</v>
      </c>
      <c r="AD9" s="24">
        <f t="shared" ref="AD9" si="11">SUM(AC9-AD7)</f>
        <v>87214490</v>
      </c>
      <c r="AE9" s="24">
        <f t="shared" ref="AE9" si="12">SUM(AD9-AE7)</f>
        <v>86139664</v>
      </c>
      <c r="AF9" s="24">
        <f t="shared" ref="AF9" si="13">SUM(AE9-AF7)</f>
        <v>85064835</v>
      </c>
    </row>
    <row r="10" spans="1:34">
      <c r="A10" s="12" t="s">
        <v>10</v>
      </c>
      <c r="B10" s="26"/>
      <c r="C10" s="26"/>
      <c r="D10" s="26"/>
      <c r="E10" s="26"/>
      <c r="F10" s="26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 spans="1:34">
      <c r="A11" s="12" t="s">
        <v>11</v>
      </c>
      <c r="B11" s="26"/>
      <c r="C11" s="26">
        <v>63.27</v>
      </c>
      <c r="D11" s="26">
        <v>100</v>
      </c>
      <c r="E11" s="26">
        <v>100</v>
      </c>
      <c r="F11" s="26">
        <v>258</v>
      </c>
      <c r="G11" s="32"/>
      <c r="H11" s="32">
        <v>258</v>
      </c>
      <c r="I11" s="32">
        <v>258</v>
      </c>
      <c r="J11" s="32">
        <v>258</v>
      </c>
      <c r="K11" s="32">
        <v>258</v>
      </c>
      <c r="L11" s="32">
        <v>258</v>
      </c>
      <c r="M11" s="32">
        <v>258</v>
      </c>
      <c r="N11" s="32">
        <v>258</v>
      </c>
      <c r="O11" s="32">
        <v>258</v>
      </c>
      <c r="P11" s="32">
        <v>258</v>
      </c>
      <c r="Q11" s="32">
        <v>258</v>
      </c>
      <c r="R11" s="32">
        <v>258</v>
      </c>
      <c r="S11" s="32">
        <v>264</v>
      </c>
      <c r="T11" s="32"/>
      <c r="U11" s="32">
        <v>264</v>
      </c>
      <c r="V11" s="32">
        <v>264</v>
      </c>
      <c r="W11" s="32">
        <v>264</v>
      </c>
      <c r="X11" s="32">
        <v>264</v>
      </c>
      <c r="Y11" s="32">
        <v>264</v>
      </c>
      <c r="Z11" s="32">
        <v>264</v>
      </c>
      <c r="AA11" s="32">
        <v>264</v>
      </c>
      <c r="AB11" s="32">
        <v>264</v>
      </c>
      <c r="AC11" s="32">
        <v>264</v>
      </c>
      <c r="AD11" s="32"/>
      <c r="AE11" s="32"/>
      <c r="AF11" s="32"/>
      <c r="AG11" s="64">
        <f>SUM(C11:AF11)</f>
        <v>5999.27</v>
      </c>
      <c r="AH11" t="s">
        <v>26</v>
      </c>
    </row>
    <row r="12" spans="1:34">
      <c r="A12" s="12" t="s">
        <v>12</v>
      </c>
      <c r="B12" s="26">
        <v>13867.33</v>
      </c>
      <c r="C12" s="26">
        <v>629.45000000000005</v>
      </c>
      <c r="D12" s="26">
        <v>9730.09</v>
      </c>
      <c r="E12" s="26">
        <v>1709.27</v>
      </c>
      <c r="F12" s="26">
        <v>6857.32</v>
      </c>
      <c r="G12" s="32"/>
      <c r="H12" s="32">
        <v>1960.99</v>
      </c>
      <c r="I12" s="32">
        <v>9204.75</v>
      </c>
      <c r="J12" s="32">
        <v>1043</v>
      </c>
      <c r="K12" s="32">
        <v>1043</v>
      </c>
      <c r="L12" s="32">
        <v>1043</v>
      </c>
      <c r="M12" s="32">
        <v>1043</v>
      </c>
      <c r="N12" s="32">
        <v>1043</v>
      </c>
      <c r="O12" s="32">
        <v>1147.3</v>
      </c>
      <c r="P12" s="32">
        <v>1147.3</v>
      </c>
      <c r="Q12" s="32">
        <v>1147.3</v>
      </c>
      <c r="R12" s="32">
        <v>12390.93</v>
      </c>
      <c r="S12" s="32">
        <v>4703.9799999999996</v>
      </c>
      <c r="T12" s="32"/>
      <c r="U12" s="32">
        <v>1193.96</v>
      </c>
      <c r="V12" s="32">
        <v>1193.96</v>
      </c>
      <c r="W12" s="32">
        <v>1263.96</v>
      </c>
      <c r="X12" s="32">
        <v>1395.55</v>
      </c>
      <c r="Y12" s="32">
        <v>1395.55</v>
      </c>
      <c r="Z12" s="32">
        <v>1395.55</v>
      </c>
      <c r="AA12" s="32">
        <v>1395.55</v>
      </c>
      <c r="AB12" s="32">
        <v>1395.55</v>
      </c>
      <c r="AC12" s="32">
        <v>1395.55</v>
      </c>
      <c r="AD12" s="32"/>
      <c r="AE12" s="32"/>
      <c r="AF12" s="32"/>
      <c r="AG12" s="64">
        <v>16077.93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19156.25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20609.5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61842.95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8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SUM(C20*C5)</f>
        <v>-108687.76800000001</v>
      </c>
      <c r="D19" s="31">
        <f t="shared" ref="D19:S19" si="14">SUM(D20*D5)</f>
        <v>-1462398.3066</v>
      </c>
      <c r="E19" s="31">
        <f t="shared" si="14"/>
        <v>-291419.1189</v>
      </c>
      <c r="F19" s="31">
        <f t="shared" si="14"/>
        <v>-429167.38079999993</v>
      </c>
      <c r="G19" s="31"/>
      <c r="H19" s="31">
        <f t="shared" si="14"/>
        <v>301330.24800000008</v>
      </c>
      <c r="I19" s="31">
        <f t="shared" si="14"/>
        <v>-736879.3075</v>
      </c>
      <c r="J19" s="31">
        <f t="shared" si="14"/>
        <v>460766.36</v>
      </c>
      <c r="K19" s="31">
        <f t="shared" si="14"/>
        <v>452069.26</v>
      </c>
      <c r="L19" s="31">
        <f t="shared" si="14"/>
        <v>474381.82</v>
      </c>
      <c r="M19" s="31">
        <f t="shared" si="14"/>
        <v>463135.57</v>
      </c>
      <c r="N19" s="31">
        <f t="shared" si="14"/>
        <v>448860.32999999996</v>
      </c>
      <c r="O19" s="31">
        <f t="shared" si="14"/>
        <v>432815.54399999999</v>
      </c>
      <c r="P19" s="31">
        <f t="shared" si="14"/>
        <v>412697.37899999996</v>
      </c>
      <c r="Q19" s="31">
        <f t="shared" si="14"/>
        <v>416460.489</v>
      </c>
      <c r="R19" s="31">
        <f t="shared" si="14"/>
        <v>-1209008.5533</v>
      </c>
      <c r="S19" s="31">
        <f t="shared" si="14"/>
        <v>-84850.532199999929</v>
      </c>
      <c r="T19" s="31"/>
      <c r="U19" s="31">
        <f t="shared" ref="U19:AF19" si="15">SUM(U20*U5)</f>
        <v>432244.51679999998</v>
      </c>
      <c r="V19" s="31">
        <f t="shared" si="15"/>
        <v>438010.91519999999</v>
      </c>
      <c r="W19" s="31">
        <f t="shared" si="15"/>
        <v>442581.364</v>
      </c>
      <c r="X19" s="31">
        <f t="shared" si="15"/>
        <v>429236.68349999998</v>
      </c>
      <c r="Y19" s="31">
        <f t="shared" si="15"/>
        <v>429044.85199999996</v>
      </c>
      <c r="Z19" s="31">
        <f t="shared" si="15"/>
        <v>421097.54699999996</v>
      </c>
      <c r="AA19" s="31">
        <f t="shared" si="15"/>
        <v>426989.51449999999</v>
      </c>
      <c r="AB19" s="31">
        <f t="shared" si="15"/>
        <v>438143.14599999995</v>
      </c>
      <c r="AC19" s="31">
        <f t="shared" si="15"/>
        <v>439540.77549999993</v>
      </c>
      <c r="AD19" s="31">
        <f t="shared" si="15"/>
        <v>0</v>
      </c>
      <c r="AE19" s="31">
        <f t="shared" si="15"/>
        <v>0</v>
      </c>
      <c r="AF19" s="31">
        <f t="shared" si="15"/>
        <v>0</v>
      </c>
    </row>
    <row r="20" spans="1:32">
      <c r="A20" s="12" t="s">
        <v>20</v>
      </c>
      <c r="B20" s="29"/>
      <c r="C20" s="33">
        <f>SUM(C6-C11-C12)</f>
        <v>-692.72</v>
      </c>
      <c r="D20" s="33">
        <f t="shared" ref="D20:S20" si="16">SUM(D6-D11-D12)</f>
        <v>-9330.09</v>
      </c>
      <c r="E20" s="33">
        <f t="shared" si="16"/>
        <v>-1809.27</v>
      </c>
      <c r="F20" s="33">
        <f t="shared" si="16"/>
        <v>-2815.3199999999997</v>
      </c>
      <c r="G20" s="34"/>
      <c r="H20" s="33">
        <f t="shared" si="16"/>
        <v>2081.0100000000002</v>
      </c>
      <c r="I20" s="33">
        <f t="shared" si="16"/>
        <v>-5162.75</v>
      </c>
      <c r="J20" s="33">
        <f t="shared" si="16"/>
        <v>2999</v>
      </c>
      <c r="K20" s="33">
        <f t="shared" si="16"/>
        <v>2999</v>
      </c>
      <c r="L20" s="33">
        <f t="shared" si="16"/>
        <v>2999</v>
      </c>
      <c r="M20" s="33">
        <f t="shared" si="16"/>
        <v>2999</v>
      </c>
      <c r="N20" s="33">
        <f t="shared" si="16"/>
        <v>2999</v>
      </c>
      <c r="O20" s="33">
        <f t="shared" si="16"/>
        <v>2894.7</v>
      </c>
      <c r="P20" s="33">
        <f t="shared" si="16"/>
        <v>2894.7</v>
      </c>
      <c r="Q20" s="33">
        <f>SUM(Q6-Q11-Q12)</f>
        <v>2894.7</v>
      </c>
      <c r="R20" s="33">
        <f t="shared" si="16"/>
        <v>-8348.93</v>
      </c>
      <c r="S20" s="33">
        <f t="shared" si="16"/>
        <v>-567.97999999999956</v>
      </c>
      <c r="T20" s="34"/>
      <c r="U20" s="33">
        <f t="shared" ref="U20:AC20" si="17">SUM(U6-U11-U12)</f>
        <v>2942.04</v>
      </c>
      <c r="V20" s="33">
        <f t="shared" si="17"/>
        <v>2942.04</v>
      </c>
      <c r="W20" s="33">
        <f t="shared" si="17"/>
        <v>2872.04</v>
      </c>
      <c r="X20" s="33">
        <f t="shared" si="17"/>
        <v>2740.45</v>
      </c>
      <c r="Y20" s="33">
        <f t="shared" si="17"/>
        <v>2740.45</v>
      </c>
      <c r="Z20" s="33">
        <f t="shared" si="17"/>
        <v>2740.45</v>
      </c>
      <c r="AA20" s="33">
        <f t="shared" si="17"/>
        <v>2740.45</v>
      </c>
      <c r="AB20" s="33">
        <f t="shared" si="17"/>
        <v>2740.45</v>
      </c>
      <c r="AC20" s="33">
        <f t="shared" si="17"/>
        <v>2740.45</v>
      </c>
      <c r="AD20" s="33">
        <f>SUM(AD6-AD11-AD12)</f>
        <v>0</v>
      </c>
      <c r="AE20" s="33">
        <f t="shared" ref="AE20:AF20" si="18">SUM(AE6-AE11-AE12)</f>
        <v>0</v>
      </c>
      <c r="AF20" s="33">
        <f t="shared" si="18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4" spans="1:32">
      <c r="A24" s="12" t="s">
        <v>23</v>
      </c>
      <c r="B24" s="67">
        <v>45394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33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45535</v>
      </c>
      <c r="V26" s="42">
        <v>45565</v>
      </c>
      <c r="W26" s="44">
        <v>45596</v>
      </c>
      <c r="X26" s="44">
        <v>45626</v>
      </c>
      <c r="Y26" s="44">
        <v>45657</v>
      </c>
      <c r="Z26" s="42">
        <v>45688</v>
      </c>
      <c r="AA26" s="42">
        <v>45716</v>
      </c>
      <c r="AB26" s="42">
        <v>45747</v>
      </c>
      <c r="AC26" s="42">
        <v>45777</v>
      </c>
      <c r="AD26" s="42">
        <v>45808</v>
      </c>
      <c r="AE26" s="42">
        <v>45838</v>
      </c>
      <c r="AF26" s="42">
        <v>45869</v>
      </c>
    </row>
    <row r="27" spans="1:32">
      <c r="A27" s="12" t="s">
        <v>1</v>
      </c>
      <c r="B27" s="24">
        <f>B28*150</f>
        <v>126225000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841500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>
      <c r="A29" s="12" t="s">
        <v>3</v>
      </c>
      <c r="B29" s="24">
        <f>B31*B30</f>
        <v>645000</v>
      </c>
      <c r="C29" s="24">
        <f>C30*C31</f>
        <v>0</v>
      </c>
      <c r="D29" s="24">
        <f>D30*D31</f>
        <v>78370</v>
      </c>
      <c r="E29" s="24">
        <f>E30*E31</f>
        <v>0</v>
      </c>
      <c r="F29" s="24">
        <f t="shared" ref="F29" si="19">F30*F31</f>
        <v>655492</v>
      </c>
      <c r="G29" s="24"/>
      <c r="H29" s="24">
        <f t="shared" ref="H29:S29" si="20">H30*H31</f>
        <v>622640</v>
      </c>
      <c r="I29" s="24">
        <f t="shared" si="20"/>
        <v>613739</v>
      </c>
      <c r="J29" s="24">
        <f t="shared" si="20"/>
        <v>660651.99999999988</v>
      </c>
      <c r="K29" s="24">
        <f t="shared" si="20"/>
        <v>648182</v>
      </c>
      <c r="L29" s="24">
        <f t="shared" si="20"/>
        <v>680174</v>
      </c>
      <c r="M29" s="24">
        <f t="shared" si="20"/>
        <v>664049</v>
      </c>
      <c r="N29" s="24">
        <f t="shared" si="20"/>
        <v>643581</v>
      </c>
      <c r="O29" s="24">
        <f t="shared" si="20"/>
        <v>642936</v>
      </c>
      <c r="P29" s="24">
        <f t="shared" si="20"/>
        <v>613051</v>
      </c>
      <c r="Q29" s="24">
        <f t="shared" si="20"/>
        <v>618641</v>
      </c>
      <c r="R29" s="24">
        <f t="shared" si="20"/>
        <v>622683</v>
      </c>
      <c r="S29" s="24">
        <f t="shared" si="20"/>
        <v>657315.99999999988</v>
      </c>
      <c r="T29" s="24"/>
      <c r="U29" s="24">
        <f t="shared" ref="U29:AF29" si="21">U30*U31</f>
        <v>646448</v>
      </c>
      <c r="V29" s="24">
        <f t="shared" si="21"/>
        <v>655072</v>
      </c>
      <c r="W29" s="24">
        <f t="shared" si="21"/>
        <v>678040</v>
      </c>
      <c r="X29" s="24">
        <f t="shared" si="21"/>
        <v>689172</v>
      </c>
      <c r="Y29" s="24">
        <f t="shared" si="21"/>
        <v>688864</v>
      </c>
      <c r="Z29" s="24">
        <f t="shared" si="21"/>
        <v>676104</v>
      </c>
      <c r="AA29" s="24">
        <f t="shared" si="21"/>
        <v>685564</v>
      </c>
      <c r="AB29" s="24">
        <f t="shared" si="21"/>
        <v>703472</v>
      </c>
      <c r="AC29" s="24">
        <f t="shared" si="21"/>
        <v>705715.99999999988</v>
      </c>
      <c r="AD29" s="24">
        <f t="shared" si="21"/>
        <v>0</v>
      </c>
      <c r="AE29" s="24">
        <f t="shared" si="21"/>
        <v>0</v>
      </c>
      <c r="AF29" s="24">
        <f t="shared" si="21"/>
        <v>0</v>
      </c>
    </row>
    <row r="30" spans="1:32">
      <c r="A30" s="12" t="s">
        <v>4</v>
      </c>
      <c r="B30" s="26"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>
        <v>4300</v>
      </c>
      <c r="C31" s="26">
        <v>0</v>
      </c>
      <c r="D31" s="26">
        <v>500</v>
      </c>
      <c r="E31" s="26">
        <v>0</v>
      </c>
      <c r="F31" s="26">
        <v>4300</v>
      </c>
      <c r="G31" s="26"/>
      <c r="H31" s="26">
        <v>4300</v>
      </c>
      <c r="I31" s="26">
        <v>4300</v>
      </c>
      <c r="J31" s="26">
        <v>4300</v>
      </c>
      <c r="K31" s="26">
        <v>4300</v>
      </c>
      <c r="L31" s="26">
        <v>4300</v>
      </c>
      <c r="M31" s="26">
        <v>4300</v>
      </c>
      <c r="N31" s="26">
        <v>4300</v>
      </c>
      <c r="O31" s="26">
        <v>4300</v>
      </c>
      <c r="P31" s="26">
        <v>4300</v>
      </c>
      <c r="Q31" s="26">
        <v>4300</v>
      </c>
      <c r="R31" s="26">
        <v>4300</v>
      </c>
      <c r="S31" s="26">
        <v>4400</v>
      </c>
      <c r="T31" s="26"/>
      <c r="U31" s="26">
        <v>4400</v>
      </c>
      <c r="V31" s="26">
        <v>4400</v>
      </c>
      <c r="W31" s="26">
        <v>4400</v>
      </c>
      <c r="X31" s="26">
        <v>4400</v>
      </c>
      <c r="Y31" s="26">
        <v>4400</v>
      </c>
      <c r="Z31" s="26">
        <v>4400</v>
      </c>
      <c r="AA31" s="26">
        <v>4400</v>
      </c>
      <c r="AB31" s="26">
        <v>4400</v>
      </c>
      <c r="AC31" s="26">
        <v>4400</v>
      </c>
      <c r="AD31" s="26"/>
      <c r="AE31" s="26"/>
      <c r="AF31" s="26"/>
    </row>
    <row r="32" spans="1:32">
      <c r="A32" s="12" t="s">
        <v>7</v>
      </c>
      <c r="B32" s="24">
        <v>115159974</v>
      </c>
      <c r="C32" s="24">
        <v>1074826</v>
      </c>
      <c r="D32" s="24">
        <v>1074826</v>
      </c>
      <c r="E32" s="24">
        <v>1074826</v>
      </c>
      <c r="F32" s="24">
        <v>1074827</v>
      </c>
      <c r="G32" s="25"/>
      <c r="H32" s="25">
        <v>1074826</v>
      </c>
      <c r="I32" s="25">
        <v>1074826</v>
      </c>
      <c r="J32" s="25">
        <v>1074826</v>
      </c>
      <c r="K32" s="25">
        <v>1074826</v>
      </c>
      <c r="L32" s="25">
        <v>1074826</v>
      </c>
      <c r="M32" s="25">
        <v>1074828</v>
      </c>
      <c r="N32" s="25">
        <v>1074826</v>
      </c>
      <c r="O32" s="25">
        <v>1074826</v>
      </c>
      <c r="P32" s="25">
        <v>1074826</v>
      </c>
      <c r="Q32" s="25">
        <v>1074826</v>
      </c>
      <c r="R32" s="25">
        <v>1074826</v>
      </c>
      <c r="S32" s="25">
        <v>1074829</v>
      </c>
      <c r="T32" s="25"/>
      <c r="U32" s="25">
        <v>1074826</v>
      </c>
      <c r="V32" s="25">
        <v>1074826</v>
      </c>
      <c r="W32" s="25">
        <v>1074826</v>
      </c>
      <c r="X32" s="25">
        <v>1074826</v>
      </c>
      <c r="Y32" s="25">
        <v>1074826</v>
      </c>
      <c r="Z32" s="25">
        <v>1074828</v>
      </c>
      <c r="AA32" s="25">
        <v>1074826</v>
      </c>
      <c r="AB32" s="25">
        <v>1074826</v>
      </c>
      <c r="AC32" s="25">
        <v>1074826</v>
      </c>
      <c r="AD32" s="25">
        <v>1074826</v>
      </c>
      <c r="AE32" s="25">
        <v>1074826</v>
      </c>
      <c r="AF32" s="25">
        <v>1074829</v>
      </c>
    </row>
    <row r="33" spans="1:32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>
      <c r="A34" s="12" t="s">
        <v>9</v>
      </c>
      <c r="B34" s="24">
        <v>115159974</v>
      </c>
      <c r="C34" s="24">
        <f>SUM(B32-C32)</f>
        <v>114085148</v>
      </c>
      <c r="D34" s="24">
        <f>SUM(C34-D32)</f>
        <v>113010322</v>
      </c>
      <c r="E34" s="24">
        <f t="shared" ref="E34" si="22">SUM(D34-E32)</f>
        <v>111935496</v>
      </c>
      <c r="F34" s="24">
        <f t="shared" ref="F34" si="23">SUM(E34-F32)</f>
        <v>110860669</v>
      </c>
      <c r="G34" s="25"/>
      <c r="H34" s="24">
        <f>SUM(F34-H32)</f>
        <v>109785843</v>
      </c>
      <c r="I34" s="24">
        <f>SUM(H34-I32)</f>
        <v>108711017</v>
      </c>
      <c r="J34" s="24">
        <f t="shared" ref="J34" si="24">SUM(I34-J32)</f>
        <v>107636191</v>
      </c>
      <c r="K34" s="24">
        <f t="shared" ref="K34" si="25">SUM(J34-K32)</f>
        <v>106561365</v>
      </c>
      <c r="L34" s="24">
        <f t="shared" ref="L34" si="26">SUM(K34-L32)</f>
        <v>105486539</v>
      </c>
      <c r="M34" s="24">
        <f t="shared" ref="M34" si="27">SUM(L34-M32)</f>
        <v>104411711</v>
      </c>
      <c r="N34" s="24">
        <f t="shared" ref="N34" si="28">SUM(M34-N32)</f>
        <v>103336885</v>
      </c>
      <c r="O34" s="24">
        <f t="shared" ref="O34" si="29">SUM(N34-O32)</f>
        <v>102262059</v>
      </c>
      <c r="P34" s="24">
        <f t="shared" ref="P34" si="30">SUM(O34-P32)</f>
        <v>101187233</v>
      </c>
      <c r="Q34" s="24">
        <f t="shared" ref="Q34" si="31">SUM(P34-Q32)</f>
        <v>100112407</v>
      </c>
      <c r="R34" s="24">
        <f t="shared" ref="R34" si="32">SUM(Q34-R32)</f>
        <v>99037581</v>
      </c>
      <c r="S34" s="24">
        <f t="shared" ref="S34" si="33">SUM(R34-S32)</f>
        <v>97962752</v>
      </c>
      <c r="T34" s="25"/>
      <c r="U34" s="24">
        <f>SUM(S34-U32)</f>
        <v>96887926</v>
      </c>
      <c r="V34" s="24">
        <f>SUM(U34-V32)</f>
        <v>95813100</v>
      </c>
      <c r="W34" s="24">
        <f t="shared" ref="W34" si="34">SUM(V34-W32)</f>
        <v>94738274</v>
      </c>
      <c r="X34" s="24">
        <f t="shared" ref="X34" si="35">SUM(W34-X32)</f>
        <v>93663448</v>
      </c>
      <c r="Y34" s="24">
        <f t="shared" ref="Y34" si="36">SUM(X34-Y32)</f>
        <v>92588622</v>
      </c>
      <c r="Z34" s="24">
        <f t="shared" ref="Z34" si="37">SUM(Y34-Z32)</f>
        <v>91513794</v>
      </c>
      <c r="AA34" s="24">
        <f t="shared" ref="AA34" si="38">SUM(Z34-AA32)</f>
        <v>90438968</v>
      </c>
      <c r="AB34" s="24">
        <f t="shared" ref="AB34" si="39">SUM(AA34-AB32)</f>
        <v>89364142</v>
      </c>
      <c r="AC34" s="24">
        <f t="shared" ref="AC34" si="40">SUM(AB34-AC32)</f>
        <v>88289316</v>
      </c>
      <c r="AD34" s="24">
        <f t="shared" ref="AD34" si="41">SUM(AC34-AD32)</f>
        <v>87214490</v>
      </c>
      <c r="AE34" s="24">
        <f t="shared" ref="AE34" si="42">SUM(AD34-AE32)</f>
        <v>86139664</v>
      </c>
      <c r="AF34" s="24">
        <f t="shared" ref="AF34" si="43">SUM(AE34-AF32)</f>
        <v>85064835</v>
      </c>
    </row>
    <row r="35" spans="1:32">
      <c r="A35" s="12" t="s">
        <v>10</v>
      </c>
      <c r="B35" s="26"/>
      <c r="C35" s="26"/>
      <c r="D35" s="26"/>
      <c r="E35" s="26"/>
      <c r="F35" s="26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</row>
    <row r="36" spans="1:32">
      <c r="A36" s="12" t="s">
        <v>11</v>
      </c>
      <c r="B36" s="26"/>
      <c r="C36" s="26">
        <v>63.27</v>
      </c>
      <c r="D36" s="26">
        <v>100</v>
      </c>
      <c r="E36" s="26">
        <v>100</v>
      </c>
      <c r="F36" s="26">
        <v>258</v>
      </c>
      <c r="G36" s="32"/>
      <c r="H36" s="32">
        <v>258</v>
      </c>
      <c r="I36" s="32">
        <v>258</v>
      </c>
      <c r="J36" s="32">
        <v>258</v>
      </c>
      <c r="K36" s="32">
        <v>258</v>
      </c>
      <c r="L36" s="32">
        <v>258</v>
      </c>
      <c r="M36" s="32">
        <v>258</v>
      </c>
      <c r="N36" s="32">
        <v>258</v>
      </c>
      <c r="O36" s="32">
        <v>258</v>
      </c>
      <c r="P36" s="32">
        <v>258</v>
      </c>
      <c r="Q36" s="32">
        <v>258</v>
      </c>
      <c r="R36" s="32">
        <v>258</v>
      </c>
      <c r="S36" s="32">
        <v>264</v>
      </c>
      <c r="T36" s="32"/>
      <c r="U36" s="32">
        <v>264</v>
      </c>
      <c r="V36" s="32">
        <v>264</v>
      </c>
      <c r="W36" s="32">
        <v>264</v>
      </c>
      <c r="X36" s="32">
        <v>264</v>
      </c>
      <c r="Y36" s="32">
        <v>264</v>
      </c>
      <c r="Z36" s="32">
        <v>264</v>
      </c>
      <c r="AA36" s="32">
        <v>264</v>
      </c>
      <c r="AB36" s="32">
        <v>264</v>
      </c>
      <c r="AC36" s="32">
        <v>264</v>
      </c>
      <c r="AD36" s="32"/>
      <c r="AE36" s="32"/>
      <c r="AF36" s="32"/>
    </row>
    <row r="37" spans="1:32">
      <c r="A37" s="12" t="s">
        <v>12</v>
      </c>
      <c r="B37" s="26">
        <v>13867.33</v>
      </c>
      <c r="C37" s="26">
        <v>629.45000000000005</v>
      </c>
      <c r="D37" s="26">
        <v>9730.09</v>
      </c>
      <c r="E37" s="26">
        <v>1709.27</v>
      </c>
      <c r="F37" s="26">
        <v>6857.32</v>
      </c>
      <c r="G37" s="32"/>
      <c r="H37" s="32">
        <v>1960.99</v>
      </c>
      <c r="I37" s="32">
        <v>1993.47</v>
      </c>
      <c r="J37" s="32">
        <v>1944.41</v>
      </c>
      <c r="K37" s="32">
        <v>1944.41</v>
      </c>
      <c r="L37" s="32">
        <v>1944.41</v>
      </c>
      <c r="M37" s="32">
        <v>1944.41</v>
      </c>
      <c r="N37" s="32">
        <v>1944.41</v>
      </c>
      <c r="O37" s="32">
        <v>2048.71</v>
      </c>
      <c r="P37" s="32">
        <v>2048.71</v>
      </c>
      <c r="Q37" s="32">
        <v>2048.71</v>
      </c>
      <c r="R37" s="32">
        <v>2267.63</v>
      </c>
      <c r="S37" s="32">
        <v>5624.28</v>
      </c>
      <c r="U37" s="32">
        <v>2114.2600000000002</v>
      </c>
      <c r="V37" s="32">
        <v>2114.2600000000002</v>
      </c>
      <c r="W37" s="32">
        <v>2184.2600000000002</v>
      </c>
      <c r="X37" s="32">
        <v>2315.85</v>
      </c>
      <c r="Y37" s="32">
        <v>2315.85</v>
      </c>
      <c r="Z37" s="32">
        <v>2315.85</v>
      </c>
      <c r="AA37" s="32">
        <v>2315.85</v>
      </c>
      <c r="AB37" s="32">
        <v>920.3</v>
      </c>
      <c r="AC37" s="32">
        <v>920.3</v>
      </c>
      <c r="AD37" s="32">
        <v>920.3</v>
      </c>
      <c r="AE37" s="32"/>
      <c r="AF37" s="32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SUM(C45*C30)</f>
        <v>-108687.76800000001</v>
      </c>
      <c r="D44" s="31">
        <f t="shared" ref="D44:F44" si="44">SUM(D45*D30)</f>
        <v>-1462398.3066</v>
      </c>
      <c r="E44" s="31">
        <f t="shared" si="44"/>
        <v>-291419.1189</v>
      </c>
      <c r="F44" s="31">
        <f t="shared" si="44"/>
        <v>-429167.38079999993</v>
      </c>
      <c r="G44" s="31"/>
      <c r="H44" s="31">
        <f t="shared" ref="H44:S44" si="45">SUM(H45*H30)</f>
        <v>301330.24800000008</v>
      </c>
      <c r="I44" s="31">
        <f t="shared" si="45"/>
        <v>292386.68689999997</v>
      </c>
      <c r="J44" s="31">
        <f t="shared" si="45"/>
        <v>322273.72759999998</v>
      </c>
      <c r="K44" s="31">
        <f t="shared" si="45"/>
        <v>316190.71660000004</v>
      </c>
      <c r="L44" s="31">
        <f t="shared" si="45"/>
        <v>331796.78620000003</v>
      </c>
      <c r="M44" s="31">
        <f t="shared" si="45"/>
        <v>323930.82370000001</v>
      </c>
      <c r="N44" s="31">
        <f t="shared" si="45"/>
        <v>313946.2953</v>
      </c>
      <c r="O44" s="31">
        <f t="shared" si="45"/>
        <v>298036.72080000001</v>
      </c>
      <c r="P44" s="31">
        <f t="shared" si="45"/>
        <v>284183.3553</v>
      </c>
      <c r="Q44" s="31">
        <f t="shared" si="45"/>
        <v>286774.6323</v>
      </c>
      <c r="R44" s="31">
        <f t="shared" si="45"/>
        <v>256946.51969999998</v>
      </c>
      <c r="S44" s="31">
        <f t="shared" si="45"/>
        <v>-222334.14919999996</v>
      </c>
      <c r="T44" s="31"/>
      <c r="U44" s="31">
        <f t="shared" ref="U44:AF44" si="46">SUM(U45*U30)</f>
        <v>297034.04079999996</v>
      </c>
      <c r="V44" s="31">
        <f t="shared" si="46"/>
        <v>300996.65119999996</v>
      </c>
      <c r="W44" s="31">
        <f t="shared" si="46"/>
        <v>300763.13399999996</v>
      </c>
      <c r="X44" s="31">
        <f t="shared" si="46"/>
        <v>285090.09450000001</v>
      </c>
      <c r="Y44" s="31">
        <f t="shared" si="46"/>
        <v>284962.68400000001</v>
      </c>
      <c r="Z44" s="31">
        <f t="shared" si="46"/>
        <v>279684.24900000001</v>
      </c>
      <c r="AA44" s="31">
        <f t="shared" si="46"/>
        <v>283597.57150000002</v>
      </c>
      <c r="AB44" s="31">
        <f t="shared" si="46"/>
        <v>514126.11599999998</v>
      </c>
      <c r="AC44" s="31">
        <f t="shared" si="46"/>
        <v>515766.12299999991</v>
      </c>
      <c r="AD44" s="31">
        <f t="shared" si="46"/>
        <v>0</v>
      </c>
      <c r="AE44" s="31">
        <f t="shared" si="46"/>
        <v>0</v>
      </c>
      <c r="AF44" s="31">
        <f t="shared" si="46"/>
        <v>0</v>
      </c>
    </row>
    <row r="45" spans="1:32">
      <c r="A45" s="12" t="s">
        <v>20</v>
      </c>
      <c r="B45" s="29"/>
      <c r="C45" s="33">
        <f>SUM(C31-C36-C37)</f>
        <v>-692.72</v>
      </c>
      <c r="D45" s="33">
        <f t="shared" ref="D45:F45" si="47">SUM(D31-D36-D37)</f>
        <v>-9330.09</v>
      </c>
      <c r="E45" s="33">
        <f t="shared" si="47"/>
        <v>-1809.27</v>
      </c>
      <c r="F45" s="33">
        <f t="shared" si="47"/>
        <v>-2815.3199999999997</v>
      </c>
      <c r="G45" s="34"/>
      <c r="H45" s="33">
        <f t="shared" ref="H45:S45" si="48">SUM(H31-H36-H37)</f>
        <v>2081.0100000000002</v>
      </c>
      <c r="I45" s="33">
        <f t="shared" si="48"/>
        <v>2048.5299999999997</v>
      </c>
      <c r="J45" s="33">
        <f t="shared" si="48"/>
        <v>2097.59</v>
      </c>
      <c r="K45" s="33">
        <f t="shared" si="48"/>
        <v>2097.59</v>
      </c>
      <c r="L45" s="33">
        <f t="shared" si="48"/>
        <v>2097.59</v>
      </c>
      <c r="M45" s="33">
        <f t="shared" si="48"/>
        <v>2097.59</v>
      </c>
      <c r="N45" s="33">
        <f t="shared" si="48"/>
        <v>2097.59</v>
      </c>
      <c r="O45" s="33">
        <f t="shared" si="48"/>
        <v>1993.29</v>
      </c>
      <c r="P45" s="33">
        <f t="shared" si="48"/>
        <v>1993.29</v>
      </c>
      <c r="Q45" s="33">
        <f t="shared" si="48"/>
        <v>1993.29</v>
      </c>
      <c r="R45" s="33">
        <f t="shared" si="48"/>
        <v>1774.37</v>
      </c>
      <c r="S45" s="33">
        <f t="shared" si="48"/>
        <v>-1488.2799999999997</v>
      </c>
      <c r="T45" s="34"/>
      <c r="U45" s="33">
        <f t="shared" ref="U45:AF45" si="49">SUM(U31-U36-U37)</f>
        <v>2021.7399999999998</v>
      </c>
      <c r="V45" s="33">
        <f t="shared" si="49"/>
        <v>2021.7399999999998</v>
      </c>
      <c r="W45" s="33">
        <f t="shared" si="49"/>
        <v>1951.7399999999998</v>
      </c>
      <c r="X45" s="33">
        <f t="shared" si="49"/>
        <v>1820.15</v>
      </c>
      <c r="Y45" s="33">
        <f t="shared" si="49"/>
        <v>1820.15</v>
      </c>
      <c r="Z45" s="33">
        <f t="shared" si="49"/>
        <v>1820.15</v>
      </c>
      <c r="AA45" s="33">
        <f t="shared" si="49"/>
        <v>1820.15</v>
      </c>
      <c r="AB45" s="33">
        <f t="shared" si="49"/>
        <v>3215.7</v>
      </c>
      <c r="AC45" s="33">
        <f t="shared" si="49"/>
        <v>3215.7</v>
      </c>
      <c r="AD45" s="33">
        <f t="shared" si="49"/>
        <v>-920.3</v>
      </c>
      <c r="AE45" s="33">
        <f t="shared" si="49"/>
        <v>0</v>
      </c>
      <c r="AF45" s="33">
        <f t="shared" si="49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8:18">
      <c r="R50">
        <v>920.33</v>
      </c>
    </row>
    <row r="51" spans="18:18">
      <c r="R51">
        <v>920.3</v>
      </c>
    </row>
    <row r="52" spans="18:18">
      <c r="R52">
        <v>920.3</v>
      </c>
    </row>
    <row r="53" spans="18:18">
      <c r="R53">
        <v>920.3</v>
      </c>
    </row>
    <row r="54" spans="18:18">
      <c r="R54">
        <v>920.3</v>
      </c>
    </row>
    <row r="55" spans="18:18">
      <c r="R55">
        <v>920.3</v>
      </c>
    </row>
    <row r="56" spans="18:18">
      <c r="R56">
        <v>920.3</v>
      </c>
    </row>
    <row r="57" spans="18:18">
      <c r="R57">
        <v>920.3</v>
      </c>
    </row>
    <row r="58" spans="18:18">
      <c r="R58">
        <v>920.3</v>
      </c>
    </row>
    <row r="59" spans="18:18">
      <c r="R59">
        <v>920.3</v>
      </c>
    </row>
    <row r="60" spans="18:18">
      <c r="R60">
        <v>920.3</v>
      </c>
    </row>
    <row r="61" spans="18:18">
      <c r="R61">
        <v>920.3</v>
      </c>
    </row>
    <row r="62" spans="18:18">
      <c r="R62">
        <f>SUM(R50:R61)</f>
        <v>11043.63</v>
      </c>
    </row>
  </sheetData>
  <phoneticPr fontId="2"/>
  <pageMargins left="0.7" right="0.7" top="0.75" bottom="0.75" header="0.3" footer="0.3"/>
  <ignoredErrors>
    <ignoredError sqref="B17" evalError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6661-1693-40D6-80AA-C682F27912F2}">
  <dimension ref="A1:AH63"/>
  <sheetViews>
    <sheetView tabSelected="1" zoomScale="90" zoomScaleNormal="90" workbookViewId="0">
      <pane xSplit="1" ySplit="1" topLeftCell="N11" activePane="bottomRight" state="frozen"/>
      <selection pane="bottomRight" activeCell="AC29" sqref="AC29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5.12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32" width="11.5" bestFit="1" customWidth="1"/>
    <col min="33" max="33" width="9.375" bestFit="1" customWidth="1"/>
  </cols>
  <sheetData>
    <row r="1" spans="1:34">
      <c r="A1" s="23" t="s">
        <v>34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149850000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999000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B6*B5</f>
        <v>697500</v>
      </c>
      <c r="C4" s="24">
        <f t="shared" ref="C4:F4" si="0">C5*C6</f>
        <v>0</v>
      </c>
      <c r="D4" s="24">
        <f t="shared" si="0"/>
        <v>22752.378400000001</v>
      </c>
      <c r="E4" s="24">
        <f t="shared" si="0"/>
        <v>724815</v>
      </c>
      <c r="F4" s="24">
        <f t="shared" si="0"/>
        <v>685980</v>
      </c>
      <c r="G4" s="24"/>
      <c r="H4" s="24">
        <f t="shared" ref="H4:S4" si="1">H5*H6</f>
        <v>651600</v>
      </c>
      <c r="I4" s="24">
        <f t="shared" si="1"/>
        <v>652989.75</v>
      </c>
      <c r="J4" s="24">
        <f t="shared" si="1"/>
        <v>702902.99999999988</v>
      </c>
      <c r="K4" s="24">
        <f t="shared" si="1"/>
        <v>689635.5</v>
      </c>
      <c r="L4" s="24">
        <f t="shared" si="1"/>
        <v>723673.5</v>
      </c>
      <c r="M4" s="24">
        <f t="shared" si="1"/>
        <v>706517.25</v>
      </c>
      <c r="N4" s="24">
        <f t="shared" si="1"/>
        <v>684740.25</v>
      </c>
      <c r="O4" s="24">
        <f t="shared" si="1"/>
        <v>684054</v>
      </c>
      <c r="P4" s="24">
        <f t="shared" si="1"/>
        <v>652257.75</v>
      </c>
      <c r="Q4" s="24">
        <f t="shared" si="1"/>
        <v>658205.25</v>
      </c>
      <c r="R4" s="24">
        <f t="shared" si="1"/>
        <v>662505.75</v>
      </c>
      <c r="S4" s="24">
        <f t="shared" si="1"/>
        <v>683459.24999999988</v>
      </c>
      <c r="T4" s="24"/>
      <c r="U4" s="24">
        <f t="shared" ref="U4:AF4" si="2">U5*U6</f>
        <v>672159</v>
      </c>
      <c r="V4" s="24">
        <f t="shared" si="2"/>
        <v>692292</v>
      </c>
      <c r="W4" s="24">
        <f t="shared" si="2"/>
        <v>716565</v>
      </c>
      <c r="X4" s="24">
        <f t="shared" si="2"/>
        <v>728329.5</v>
      </c>
      <c r="Y4" s="24">
        <f t="shared" si="2"/>
        <v>728004</v>
      </c>
      <c r="Z4" s="24">
        <f t="shared" si="2"/>
        <v>714519</v>
      </c>
      <c r="AA4" s="24">
        <f t="shared" si="2"/>
        <v>724516.5</v>
      </c>
      <c r="AB4" s="24">
        <f t="shared" si="2"/>
        <v>743442</v>
      </c>
      <c r="AC4" s="24">
        <f t="shared" si="2"/>
        <v>745813.49999999988</v>
      </c>
      <c r="AD4" s="24">
        <f t="shared" si="2"/>
        <v>0</v>
      </c>
      <c r="AE4" s="24">
        <f t="shared" si="2"/>
        <v>0</v>
      </c>
      <c r="AF4" s="24">
        <f t="shared" si="2"/>
        <v>0</v>
      </c>
    </row>
    <row r="5" spans="1:34">
      <c r="A5" s="12" t="s">
        <v>4</v>
      </c>
      <c r="B5" s="26"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4650</v>
      </c>
      <c r="C6" s="26"/>
      <c r="D6" s="26">
        <v>145.16</v>
      </c>
      <c r="E6" s="26">
        <v>4500</v>
      </c>
      <c r="F6" s="26">
        <v>4500</v>
      </c>
      <c r="G6" s="26"/>
      <c r="H6" s="26">
        <v>4500</v>
      </c>
      <c r="I6" s="26">
        <v>4575</v>
      </c>
      <c r="J6" s="26">
        <v>4575</v>
      </c>
      <c r="K6" s="26">
        <v>4575</v>
      </c>
      <c r="L6" s="26">
        <v>4575</v>
      </c>
      <c r="M6" s="26">
        <v>4575</v>
      </c>
      <c r="N6" s="26">
        <v>4575</v>
      </c>
      <c r="O6" s="26">
        <v>4575</v>
      </c>
      <c r="P6" s="26">
        <v>4575</v>
      </c>
      <c r="Q6" s="26">
        <v>4575</v>
      </c>
      <c r="R6" s="26">
        <v>4575</v>
      </c>
      <c r="S6" s="26">
        <v>4575</v>
      </c>
      <c r="T6" s="26"/>
      <c r="U6" s="26">
        <v>4575</v>
      </c>
      <c r="V6" s="26">
        <v>4650</v>
      </c>
      <c r="W6" s="26">
        <v>4650</v>
      </c>
      <c r="X6" s="26">
        <v>4650</v>
      </c>
      <c r="Y6" s="26">
        <v>4650</v>
      </c>
      <c r="Z6" s="26">
        <v>4650</v>
      </c>
      <c r="AA6" s="26">
        <v>4650</v>
      </c>
      <c r="AB6" s="26">
        <v>4650</v>
      </c>
      <c r="AC6" s="26">
        <v>4650</v>
      </c>
      <c r="AD6" s="26"/>
      <c r="AE6" s="26"/>
      <c r="AF6" s="26"/>
    </row>
    <row r="7" spans="1:34">
      <c r="A7" s="12" t="s">
        <v>7</v>
      </c>
      <c r="B7" s="24">
        <v>136057268</v>
      </c>
      <c r="C7" s="24"/>
      <c r="D7" s="24">
        <v>1269867</v>
      </c>
      <c r="E7" s="24">
        <v>1269867</v>
      </c>
      <c r="F7" s="24">
        <v>1269869</v>
      </c>
      <c r="G7" s="25"/>
      <c r="H7" s="25">
        <v>1269867</v>
      </c>
      <c r="I7" s="25">
        <v>1269867</v>
      </c>
      <c r="J7" s="25">
        <v>1269867</v>
      </c>
      <c r="K7" s="25">
        <v>1269867</v>
      </c>
      <c r="L7" s="25">
        <v>1269867</v>
      </c>
      <c r="M7" s="25">
        <v>1269872</v>
      </c>
      <c r="N7" s="25">
        <v>1269867</v>
      </c>
      <c r="O7" s="25">
        <v>1269867</v>
      </c>
      <c r="P7" s="25">
        <v>1269867</v>
      </c>
      <c r="Q7" s="25">
        <v>1269867</v>
      </c>
      <c r="R7" s="25">
        <v>1269867</v>
      </c>
      <c r="S7" s="25">
        <v>1269872</v>
      </c>
      <c r="T7" s="25"/>
      <c r="U7" s="25">
        <v>1269867</v>
      </c>
      <c r="V7" s="25">
        <v>1269867</v>
      </c>
      <c r="W7" s="25">
        <v>1269867</v>
      </c>
      <c r="X7" s="25">
        <v>1269867</v>
      </c>
      <c r="Y7" s="25">
        <v>1269867</v>
      </c>
      <c r="Z7" s="25">
        <v>1269872</v>
      </c>
      <c r="AA7" s="25">
        <v>1269867</v>
      </c>
      <c r="AB7" s="25">
        <v>1269867</v>
      </c>
      <c r="AC7" s="25">
        <v>1269867</v>
      </c>
      <c r="AD7" s="25">
        <v>1269867</v>
      </c>
      <c r="AE7" s="25">
        <v>1269867</v>
      </c>
      <c r="AF7" s="25">
        <v>1269872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136057268</v>
      </c>
      <c r="C9" s="24"/>
      <c r="D9" s="24">
        <f>SUM(B9-D7)</f>
        <v>134787401</v>
      </c>
      <c r="E9" s="24">
        <f t="shared" ref="E9:F9" si="3">SUM(D9-E7)</f>
        <v>133517534</v>
      </c>
      <c r="F9" s="24">
        <f t="shared" si="3"/>
        <v>132247665</v>
      </c>
      <c r="G9" s="25"/>
      <c r="H9" s="24">
        <f>SUM(F9-H7)</f>
        <v>130977798</v>
      </c>
      <c r="I9" s="24">
        <f>SUM(H9-I7)</f>
        <v>129707931</v>
      </c>
      <c r="J9" s="24">
        <f t="shared" ref="J9:S9" si="4">SUM(I9-J7)</f>
        <v>128438064</v>
      </c>
      <c r="K9" s="24">
        <f t="shared" si="4"/>
        <v>127168197</v>
      </c>
      <c r="L9" s="24">
        <f t="shared" si="4"/>
        <v>125898330</v>
      </c>
      <c r="M9" s="24">
        <f t="shared" si="4"/>
        <v>124628458</v>
      </c>
      <c r="N9" s="24">
        <f t="shared" si="4"/>
        <v>123358591</v>
      </c>
      <c r="O9" s="24">
        <f t="shared" si="4"/>
        <v>122088724</v>
      </c>
      <c r="P9" s="24">
        <f t="shared" si="4"/>
        <v>120818857</v>
      </c>
      <c r="Q9" s="24">
        <f t="shared" si="4"/>
        <v>119548990</v>
      </c>
      <c r="R9" s="24">
        <f t="shared" si="4"/>
        <v>118279123</v>
      </c>
      <c r="S9" s="24">
        <f t="shared" si="4"/>
        <v>117009251</v>
      </c>
      <c r="T9" s="25"/>
      <c r="U9" s="24">
        <f>SUM(S9-U7)</f>
        <v>115739384</v>
      </c>
      <c r="V9" s="24">
        <f>SUM(U9-V7)</f>
        <v>114469517</v>
      </c>
      <c r="W9" s="24">
        <f t="shared" ref="W9" si="5">SUM(V9-W7)</f>
        <v>113199650</v>
      </c>
      <c r="X9" s="24">
        <f t="shared" ref="X9" si="6">SUM(W9-X7)</f>
        <v>111929783</v>
      </c>
      <c r="Y9" s="24">
        <f t="shared" ref="Y9" si="7">SUM(X9-Y7)</f>
        <v>110659916</v>
      </c>
      <c r="Z9" s="24">
        <f t="shared" ref="Z9" si="8">SUM(Y9-Z7)</f>
        <v>109390044</v>
      </c>
      <c r="AA9" s="24">
        <f t="shared" ref="AA9" si="9">SUM(Z9-AA7)</f>
        <v>108120177</v>
      </c>
      <c r="AB9" s="24">
        <f t="shared" ref="AB9" si="10">SUM(AA9-AB7)</f>
        <v>106850310</v>
      </c>
      <c r="AC9" s="24">
        <f t="shared" ref="AC9" si="11">SUM(AB9-AC7)</f>
        <v>105580443</v>
      </c>
      <c r="AD9" s="24">
        <f t="shared" ref="AD9" si="12">SUM(AC9-AD7)</f>
        <v>104310576</v>
      </c>
      <c r="AE9" s="24">
        <f t="shared" ref="AE9" si="13">SUM(AD9-AE7)</f>
        <v>103040709</v>
      </c>
      <c r="AF9" s="24">
        <f t="shared" ref="AF9" si="14">SUM(AE9-AF7)</f>
        <v>101770837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6"/>
      <c r="C11" s="26"/>
      <c r="D11" s="26"/>
      <c r="E11" s="26"/>
      <c r="F11" s="26">
        <v>270</v>
      </c>
      <c r="G11" s="32"/>
      <c r="H11" s="32">
        <v>270</v>
      </c>
      <c r="I11" s="32">
        <v>274.5</v>
      </c>
      <c r="J11" s="32">
        <v>274.5</v>
      </c>
      <c r="K11" s="32">
        <v>274.5</v>
      </c>
      <c r="L11" s="32">
        <v>274.5</v>
      </c>
      <c r="M11" s="32">
        <v>274.5</v>
      </c>
      <c r="N11" s="32">
        <v>274.5</v>
      </c>
      <c r="O11" s="32">
        <v>274.5</v>
      </c>
      <c r="P11" s="32">
        <v>274.5</v>
      </c>
      <c r="Q11" s="32">
        <v>274.5</v>
      </c>
      <c r="R11" s="32">
        <v>274.5</v>
      </c>
      <c r="S11" s="32">
        <v>274.5</v>
      </c>
      <c r="T11" s="32"/>
      <c r="U11" s="32">
        <v>274.5</v>
      </c>
      <c r="V11" s="32">
        <v>279</v>
      </c>
      <c r="W11" s="32">
        <v>279</v>
      </c>
      <c r="X11" s="32">
        <v>279</v>
      </c>
      <c r="Y11" s="32">
        <v>279</v>
      </c>
      <c r="Z11" s="32">
        <v>279</v>
      </c>
      <c r="AA11" s="32">
        <v>279</v>
      </c>
      <c r="AB11" s="32">
        <v>279</v>
      </c>
      <c r="AC11" s="32">
        <v>279</v>
      </c>
      <c r="AD11" s="32"/>
      <c r="AE11" s="32"/>
      <c r="AF11" s="32"/>
      <c r="AG11" s="64">
        <f>SUM(C36:AF36)</f>
        <v>6066</v>
      </c>
      <c r="AH11" t="s">
        <v>26</v>
      </c>
    </row>
    <row r="12" spans="1:34">
      <c r="A12" s="12" t="s">
        <v>12</v>
      </c>
      <c r="B12" s="26">
        <v>16101.33</v>
      </c>
      <c r="C12" s="26"/>
      <c r="D12" s="26">
        <v>36.56</v>
      </c>
      <c r="E12" s="26">
        <v>1133.3800000000001</v>
      </c>
      <c r="F12" s="26">
        <v>1176.9000000000001</v>
      </c>
      <c r="G12" s="32"/>
      <c r="H12" s="32">
        <v>3932</v>
      </c>
      <c r="I12" s="32">
        <v>10500.82</v>
      </c>
      <c r="J12" s="32">
        <v>1489.41</v>
      </c>
      <c r="K12" s="32">
        <v>1189.4100000000001</v>
      </c>
      <c r="L12" s="32">
        <v>1189.4100000000001</v>
      </c>
      <c r="M12" s="32">
        <v>1189.4100000000001</v>
      </c>
      <c r="N12" s="32">
        <v>1189.4100000000001</v>
      </c>
      <c r="O12" s="32">
        <v>1308.3499999999999</v>
      </c>
      <c r="P12" s="32">
        <v>1847.28</v>
      </c>
      <c r="Q12" s="32">
        <v>1308.3499999999999</v>
      </c>
      <c r="R12" s="32">
        <v>25883.43</v>
      </c>
      <c r="S12" s="32">
        <v>1308.3499999999999</v>
      </c>
      <c r="T12" s="32"/>
      <c r="U12" s="32">
        <v>2307</v>
      </c>
      <c r="V12" s="32">
        <v>1361.56</v>
      </c>
      <c r="W12" s="32">
        <v>1431.56</v>
      </c>
      <c r="X12" s="32">
        <v>1591.44</v>
      </c>
      <c r="Y12" s="32">
        <v>1591.44</v>
      </c>
      <c r="Z12" s="32">
        <v>1591.44</v>
      </c>
      <c r="AA12" s="32">
        <v>1591.44</v>
      </c>
      <c r="AB12" s="32">
        <v>1591.44</v>
      </c>
      <c r="AC12" s="32">
        <v>1591.44</v>
      </c>
      <c r="AD12" s="32"/>
      <c r="AE12" s="32"/>
      <c r="AF12" s="32"/>
      <c r="AG12" s="64">
        <v>16520.21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21854.74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16307.52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60748.47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3">
        <f>SUM(C5*C20)</f>
        <v>0</v>
      </c>
      <c r="D19" s="33">
        <f t="shared" ref="D19:S19" si="15">SUM(D5*D20)</f>
        <v>17021.964</v>
      </c>
      <c r="E19" s="33">
        <f t="shared" si="15"/>
        <v>542261.48339999991</v>
      </c>
      <c r="F19" s="33">
        <f t="shared" si="15"/>
        <v>465414.56399999995</v>
      </c>
      <c r="G19" s="33"/>
      <c r="H19" s="33">
        <f t="shared" si="15"/>
        <v>43150.400000000001</v>
      </c>
      <c r="I19" s="33">
        <f t="shared" si="15"/>
        <v>-884971.67359999986</v>
      </c>
      <c r="J19" s="33">
        <f t="shared" si="15"/>
        <v>431895.8676</v>
      </c>
      <c r="K19" s="33">
        <f t="shared" si="15"/>
        <v>468965.70660000003</v>
      </c>
      <c r="L19" s="33">
        <f t="shared" si="15"/>
        <v>492112.21620000002</v>
      </c>
      <c r="M19" s="33">
        <f t="shared" si="15"/>
        <v>480445.62870000006</v>
      </c>
      <c r="N19" s="33">
        <f t="shared" si="15"/>
        <v>465636.84029999998</v>
      </c>
      <c r="O19" s="33">
        <f t="shared" si="15"/>
        <v>447386.26800000004</v>
      </c>
      <c r="P19" s="33">
        <f t="shared" si="15"/>
        <v>349755.57540000003</v>
      </c>
      <c r="Q19" s="33">
        <f t="shared" si="15"/>
        <v>430480.62050000002</v>
      </c>
      <c r="R19" s="33">
        <f t="shared" si="15"/>
        <v>-3125424.0933000003</v>
      </c>
      <c r="S19" s="33">
        <f t="shared" si="15"/>
        <v>446997.28849999997</v>
      </c>
      <c r="T19" s="33"/>
      <c r="U19" s="33">
        <f t="shared" ref="U19:AF19" si="16">SUM(U5*U20)</f>
        <v>292885.01999999996</v>
      </c>
      <c r="V19" s="33">
        <f t="shared" si="16"/>
        <v>448045.42719999998</v>
      </c>
      <c r="W19" s="33">
        <f t="shared" si="16"/>
        <v>452967.70399999997</v>
      </c>
      <c r="X19" s="33">
        <f t="shared" si="16"/>
        <v>435362.4828</v>
      </c>
      <c r="Y19" s="33">
        <f t="shared" si="16"/>
        <v>435167.91359999997</v>
      </c>
      <c r="Z19" s="33">
        <f t="shared" si="16"/>
        <v>427107.18959999998</v>
      </c>
      <c r="AA19" s="33">
        <f t="shared" si="16"/>
        <v>433083.24359999999</v>
      </c>
      <c r="AB19" s="33">
        <f t="shared" si="16"/>
        <v>444396.0528</v>
      </c>
      <c r="AC19" s="33">
        <f t="shared" si="16"/>
        <v>445813.62839999993</v>
      </c>
      <c r="AD19" s="33">
        <f t="shared" si="16"/>
        <v>0</v>
      </c>
      <c r="AE19" s="33">
        <f t="shared" si="16"/>
        <v>0</v>
      </c>
      <c r="AF19" s="33">
        <f t="shared" si="16"/>
        <v>0</v>
      </c>
    </row>
    <row r="20" spans="1:32">
      <c r="A20" s="12" t="s">
        <v>20</v>
      </c>
      <c r="B20" s="29"/>
      <c r="C20" s="33">
        <f t="shared" ref="C20:S20" si="17">SUM(C6-C11-C12)</f>
        <v>0</v>
      </c>
      <c r="D20" s="33">
        <f t="shared" si="17"/>
        <v>108.6</v>
      </c>
      <c r="E20" s="33">
        <f t="shared" si="17"/>
        <v>3366.62</v>
      </c>
      <c r="F20" s="33">
        <f t="shared" si="17"/>
        <v>3053.1</v>
      </c>
      <c r="G20" s="33"/>
      <c r="H20" s="33">
        <f t="shared" si="17"/>
        <v>298</v>
      </c>
      <c r="I20" s="33">
        <f t="shared" si="17"/>
        <v>-6200.32</v>
      </c>
      <c r="J20" s="33">
        <f t="shared" si="17"/>
        <v>2811.09</v>
      </c>
      <c r="K20" s="33">
        <f t="shared" si="17"/>
        <v>3111.09</v>
      </c>
      <c r="L20" s="33">
        <f t="shared" si="17"/>
        <v>3111.09</v>
      </c>
      <c r="M20" s="33">
        <f t="shared" si="17"/>
        <v>3111.09</v>
      </c>
      <c r="N20" s="33">
        <f t="shared" si="17"/>
        <v>3111.09</v>
      </c>
      <c r="O20" s="33">
        <f t="shared" si="17"/>
        <v>2992.15</v>
      </c>
      <c r="P20" s="33">
        <f t="shared" si="17"/>
        <v>2453.2200000000003</v>
      </c>
      <c r="Q20" s="33">
        <f t="shared" si="17"/>
        <v>2992.15</v>
      </c>
      <c r="R20" s="33">
        <f t="shared" si="17"/>
        <v>-21582.93</v>
      </c>
      <c r="S20" s="33">
        <f t="shared" si="17"/>
        <v>2992.15</v>
      </c>
      <c r="T20" s="33"/>
      <c r="U20" s="33">
        <f t="shared" ref="U20:AF20" si="18">SUM(U6-U11-U12)</f>
        <v>1993.5</v>
      </c>
      <c r="V20" s="33">
        <f t="shared" si="18"/>
        <v>3009.44</v>
      </c>
      <c r="W20" s="33">
        <f t="shared" si="18"/>
        <v>2939.44</v>
      </c>
      <c r="X20" s="33">
        <f t="shared" si="18"/>
        <v>2779.56</v>
      </c>
      <c r="Y20" s="33">
        <f t="shared" si="18"/>
        <v>2779.56</v>
      </c>
      <c r="Z20" s="33">
        <f t="shared" si="18"/>
        <v>2779.56</v>
      </c>
      <c r="AA20" s="33">
        <f t="shared" si="18"/>
        <v>2779.56</v>
      </c>
      <c r="AB20" s="33">
        <f t="shared" si="18"/>
        <v>2779.56</v>
      </c>
      <c r="AC20" s="33">
        <f t="shared" si="18"/>
        <v>2779.56</v>
      </c>
      <c r="AD20" s="33">
        <f t="shared" si="18"/>
        <v>0</v>
      </c>
      <c r="AE20" s="33">
        <f t="shared" si="18"/>
        <v>0</v>
      </c>
      <c r="AF20" s="33">
        <f t="shared" si="18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4" spans="1:32">
      <c r="A24" s="12" t="s">
        <v>23</v>
      </c>
      <c r="B24" s="67">
        <v>45443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34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65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>
      <c r="A27" s="12" t="s">
        <v>1</v>
      </c>
      <c r="B27" s="24">
        <f>B28*150</f>
        <v>149850000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spans="1:32">
      <c r="A28" s="12" t="s">
        <v>2</v>
      </c>
      <c r="B28" s="24">
        <v>999000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>
      <c r="A29" s="12" t="s">
        <v>3</v>
      </c>
      <c r="B29" s="24">
        <f>B31*B30</f>
        <v>686250</v>
      </c>
      <c r="C29" s="24">
        <f t="shared" ref="C29:F29" si="19">C30*C31</f>
        <v>0</v>
      </c>
      <c r="D29" s="24">
        <f t="shared" si="19"/>
        <v>22752.378400000001</v>
      </c>
      <c r="E29" s="24">
        <f t="shared" si="19"/>
        <v>724815</v>
      </c>
      <c r="F29" s="24">
        <f t="shared" si="19"/>
        <v>685980</v>
      </c>
      <c r="G29" s="24"/>
      <c r="H29" s="24">
        <f t="shared" ref="H29:S29" si="20">H30*H31</f>
        <v>651600</v>
      </c>
      <c r="I29" s="24">
        <f t="shared" si="20"/>
        <v>652989.75</v>
      </c>
      <c r="J29" s="24">
        <f t="shared" si="20"/>
        <v>702902.99999999988</v>
      </c>
      <c r="K29" s="24">
        <f t="shared" si="20"/>
        <v>689635.5</v>
      </c>
      <c r="L29" s="24">
        <f t="shared" si="20"/>
        <v>723673.5</v>
      </c>
      <c r="M29" s="24">
        <f t="shared" si="20"/>
        <v>706517.25</v>
      </c>
      <c r="N29" s="24">
        <f t="shared" si="20"/>
        <v>684740.25</v>
      </c>
      <c r="O29" s="24">
        <f t="shared" si="20"/>
        <v>684054</v>
      </c>
      <c r="P29" s="24">
        <f t="shared" si="20"/>
        <v>652257.75</v>
      </c>
      <c r="Q29" s="24">
        <f t="shared" si="20"/>
        <v>658205.25</v>
      </c>
      <c r="R29" s="24">
        <f t="shared" si="20"/>
        <v>662505.75</v>
      </c>
      <c r="S29" s="24">
        <f t="shared" si="20"/>
        <v>683459.24999999988</v>
      </c>
      <c r="T29" s="24"/>
      <c r="U29" s="24">
        <f t="shared" ref="U29:AF29" si="21">U30*U31</f>
        <v>672159</v>
      </c>
      <c r="V29" s="24">
        <f t="shared" si="21"/>
        <v>692292</v>
      </c>
      <c r="W29" s="24">
        <f t="shared" si="21"/>
        <v>716565</v>
      </c>
      <c r="X29" s="24">
        <f t="shared" si="21"/>
        <v>728329.5</v>
      </c>
      <c r="Y29" s="24">
        <f t="shared" si="21"/>
        <v>728004</v>
      </c>
      <c r="Z29" s="24">
        <f t="shared" si="21"/>
        <v>714519</v>
      </c>
      <c r="AA29" s="24">
        <f t="shared" si="21"/>
        <v>724516.5</v>
      </c>
      <c r="AB29" s="24">
        <f t="shared" si="21"/>
        <v>743442</v>
      </c>
      <c r="AC29" s="24">
        <f t="shared" si="21"/>
        <v>745813.49999999988</v>
      </c>
      <c r="AD29" s="24">
        <f t="shared" si="21"/>
        <v>0</v>
      </c>
      <c r="AE29" s="24">
        <f t="shared" si="21"/>
        <v>0</v>
      </c>
      <c r="AF29" s="24">
        <f t="shared" si="21"/>
        <v>0</v>
      </c>
    </row>
    <row r="30" spans="1:32">
      <c r="A30" s="12" t="s">
        <v>4</v>
      </c>
      <c r="B30" s="26"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>
        <v>4575</v>
      </c>
      <c r="C31" s="26"/>
      <c r="D31" s="26">
        <v>145.16</v>
      </c>
      <c r="E31" s="26">
        <v>4500</v>
      </c>
      <c r="F31" s="26">
        <v>4500</v>
      </c>
      <c r="G31" s="26"/>
      <c r="H31" s="26">
        <v>4500</v>
      </c>
      <c r="I31" s="26">
        <v>4575</v>
      </c>
      <c r="J31" s="26">
        <v>4575</v>
      </c>
      <c r="K31" s="26">
        <v>4575</v>
      </c>
      <c r="L31" s="26">
        <v>4575</v>
      </c>
      <c r="M31" s="26">
        <v>4575</v>
      </c>
      <c r="N31" s="26">
        <v>4575</v>
      </c>
      <c r="O31" s="26">
        <v>4575</v>
      </c>
      <c r="P31" s="26">
        <v>4575</v>
      </c>
      <c r="Q31" s="26">
        <v>4575</v>
      </c>
      <c r="R31" s="26">
        <v>4575</v>
      </c>
      <c r="S31" s="26">
        <v>4575</v>
      </c>
      <c r="T31" s="26"/>
      <c r="U31" s="26">
        <v>4575</v>
      </c>
      <c r="V31" s="26">
        <v>4650</v>
      </c>
      <c r="W31" s="26">
        <v>4650</v>
      </c>
      <c r="X31" s="26">
        <v>4650</v>
      </c>
      <c r="Y31" s="26">
        <v>4650</v>
      </c>
      <c r="Z31" s="26">
        <v>4650</v>
      </c>
      <c r="AA31" s="26">
        <v>4650</v>
      </c>
      <c r="AB31" s="26">
        <v>4650</v>
      </c>
      <c r="AC31" s="26">
        <v>4650</v>
      </c>
      <c r="AD31" s="26"/>
      <c r="AE31" s="26"/>
      <c r="AF31" s="26"/>
    </row>
    <row r="32" spans="1:32">
      <c r="A32" s="12" t="s">
        <v>7</v>
      </c>
      <c r="B32" s="24">
        <v>136057268</v>
      </c>
      <c r="C32" s="24"/>
      <c r="D32" s="24">
        <v>1269867</v>
      </c>
      <c r="E32" s="24">
        <v>1269867</v>
      </c>
      <c r="F32" s="24">
        <v>1269869</v>
      </c>
      <c r="G32" s="25"/>
      <c r="H32" s="25">
        <v>1269867</v>
      </c>
      <c r="I32" s="25">
        <v>1269867</v>
      </c>
      <c r="J32" s="25">
        <v>1269867</v>
      </c>
      <c r="K32" s="25">
        <v>1269867</v>
      </c>
      <c r="L32" s="25">
        <v>1269867</v>
      </c>
      <c r="M32" s="25">
        <v>1269872</v>
      </c>
      <c r="N32" s="25">
        <v>1269867</v>
      </c>
      <c r="O32" s="25">
        <v>1269867</v>
      </c>
      <c r="P32" s="25">
        <v>1269867</v>
      </c>
      <c r="Q32" s="25">
        <v>1269867</v>
      </c>
      <c r="R32" s="25">
        <v>1269867</v>
      </c>
      <c r="S32" s="25">
        <v>1269872</v>
      </c>
      <c r="T32" s="25"/>
      <c r="U32" s="25">
        <v>1269867</v>
      </c>
      <c r="V32" s="25">
        <v>1269867</v>
      </c>
      <c r="W32" s="25">
        <v>1269867</v>
      </c>
      <c r="X32" s="25">
        <v>1269867</v>
      </c>
      <c r="Y32" s="25">
        <v>1269867</v>
      </c>
      <c r="Z32" s="25">
        <v>1269872</v>
      </c>
      <c r="AA32" s="25">
        <v>1269867</v>
      </c>
      <c r="AB32" s="25">
        <v>1269867</v>
      </c>
      <c r="AC32" s="25">
        <v>1269867</v>
      </c>
      <c r="AD32" s="25">
        <v>1269867</v>
      </c>
      <c r="AE32" s="25">
        <v>1269867</v>
      </c>
      <c r="AF32" s="25">
        <v>1269872</v>
      </c>
    </row>
    <row r="33" spans="1:32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>
      <c r="A34" s="12" t="s">
        <v>9</v>
      </c>
      <c r="B34" s="24">
        <v>136057268</v>
      </c>
      <c r="C34" s="24"/>
      <c r="D34" s="24">
        <f>SUM(B34-D32)</f>
        <v>134787401</v>
      </c>
      <c r="E34" s="24">
        <f t="shared" ref="E34" si="22">SUM(D34-E32)</f>
        <v>133517534</v>
      </c>
      <c r="F34" s="24">
        <f t="shared" ref="F34" si="23">SUM(E34-F32)</f>
        <v>132247665</v>
      </c>
      <c r="G34" s="25"/>
      <c r="H34" s="24">
        <f>SUM(F34-H32)</f>
        <v>130977798</v>
      </c>
      <c r="I34" s="24">
        <f>SUM(H34-I32)</f>
        <v>129707931</v>
      </c>
      <c r="J34" s="24">
        <f t="shared" ref="J34" si="24">SUM(I34-J32)</f>
        <v>128438064</v>
      </c>
      <c r="K34" s="24">
        <f t="shared" ref="K34" si="25">SUM(J34-K32)</f>
        <v>127168197</v>
      </c>
      <c r="L34" s="24">
        <f t="shared" ref="L34" si="26">SUM(K34-L32)</f>
        <v>125898330</v>
      </c>
      <c r="M34" s="24">
        <f t="shared" ref="M34" si="27">SUM(L34-M32)</f>
        <v>124628458</v>
      </c>
      <c r="N34" s="24">
        <f t="shared" ref="N34" si="28">SUM(M34-N32)</f>
        <v>123358591</v>
      </c>
      <c r="O34" s="24">
        <f t="shared" ref="O34" si="29">SUM(N34-O32)</f>
        <v>122088724</v>
      </c>
      <c r="P34" s="24">
        <f t="shared" ref="P34" si="30">SUM(O34-P32)</f>
        <v>120818857</v>
      </c>
      <c r="Q34" s="24">
        <f t="shared" ref="Q34" si="31">SUM(P34-Q32)</f>
        <v>119548990</v>
      </c>
      <c r="R34" s="24">
        <f t="shared" ref="R34" si="32">SUM(Q34-R32)</f>
        <v>118279123</v>
      </c>
      <c r="S34" s="24">
        <f t="shared" ref="S34" si="33">SUM(R34-S32)</f>
        <v>117009251</v>
      </c>
      <c r="T34" s="25"/>
      <c r="U34" s="24">
        <f>SUM(S34-U32)</f>
        <v>115739384</v>
      </c>
      <c r="V34" s="24">
        <f>SUM(U34-V32)</f>
        <v>114469517</v>
      </c>
      <c r="W34" s="24">
        <f t="shared" ref="W34" si="34">SUM(V34-W32)</f>
        <v>113199650</v>
      </c>
      <c r="X34" s="24">
        <f t="shared" ref="X34" si="35">SUM(W34-X32)</f>
        <v>111929783</v>
      </c>
      <c r="Y34" s="24">
        <f t="shared" ref="Y34" si="36">SUM(X34-Y32)</f>
        <v>110659916</v>
      </c>
      <c r="Z34" s="24">
        <f t="shared" ref="Z34" si="37">SUM(Y34-Z32)</f>
        <v>109390044</v>
      </c>
      <c r="AA34" s="24">
        <f t="shared" ref="AA34" si="38">SUM(Z34-AA32)</f>
        <v>108120177</v>
      </c>
      <c r="AB34" s="24">
        <f t="shared" ref="AB34" si="39">SUM(AA34-AB32)</f>
        <v>106850310</v>
      </c>
      <c r="AC34" s="24">
        <f t="shared" ref="AC34" si="40">SUM(AB34-AC32)</f>
        <v>105580443</v>
      </c>
      <c r="AD34" s="24">
        <f t="shared" ref="AD34" si="41">SUM(AC34-AD32)</f>
        <v>104310576</v>
      </c>
      <c r="AE34" s="24">
        <f t="shared" ref="AE34" si="42">SUM(AD34-AE32)</f>
        <v>103040709</v>
      </c>
      <c r="AF34" s="24">
        <f t="shared" ref="AF34" si="43">SUM(AE34-AF32)</f>
        <v>101770837</v>
      </c>
    </row>
    <row r="35" spans="1:32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>
      <c r="A36" s="12" t="s">
        <v>11</v>
      </c>
      <c r="B36" s="26"/>
      <c r="C36" s="26"/>
      <c r="D36" s="26"/>
      <c r="E36" s="26"/>
      <c r="F36" s="26">
        <v>270</v>
      </c>
      <c r="G36" s="32"/>
      <c r="H36" s="32">
        <v>270</v>
      </c>
      <c r="I36" s="32">
        <v>274.5</v>
      </c>
      <c r="J36" s="32">
        <v>274.5</v>
      </c>
      <c r="K36" s="32">
        <v>274.5</v>
      </c>
      <c r="L36" s="32">
        <v>274.5</v>
      </c>
      <c r="M36" s="32">
        <v>274.5</v>
      </c>
      <c r="N36" s="32">
        <v>274.5</v>
      </c>
      <c r="O36" s="32">
        <v>274.5</v>
      </c>
      <c r="P36" s="32">
        <v>274.5</v>
      </c>
      <c r="Q36" s="32">
        <v>274.5</v>
      </c>
      <c r="R36" s="32">
        <v>274.5</v>
      </c>
      <c r="S36" s="32">
        <v>274.5</v>
      </c>
      <c r="T36" s="32"/>
      <c r="U36" s="32">
        <v>274.5</v>
      </c>
      <c r="V36" s="32">
        <v>279</v>
      </c>
      <c r="W36" s="32">
        <v>279</v>
      </c>
      <c r="X36" s="32">
        <v>279</v>
      </c>
      <c r="Y36" s="32">
        <v>279</v>
      </c>
      <c r="Z36" s="32">
        <v>279</v>
      </c>
      <c r="AA36" s="32">
        <v>279</v>
      </c>
      <c r="AB36" s="32">
        <v>279</v>
      </c>
      <c r="AC36" s="32">
        <v>279</v>
      </c>
      <c r="AD36" s="32"/>
      <c r="AE36" s="32"/>
      <c r="AF36" s="32"/>
    </row>
    <row r="37" spans="1:32">
      <c r="A37" s="12" t="s">
        <v>12</v>
      </c>
      <c r="B37" s="26">
        <v>16101.33</v>
      </c>
      <c r="C37" s="26"/>
      <c r="D37" s="26">
        <v>36.56</v>
      </c>
      <c r="E37" s="26">
        <v>1133.3800000000001</v>
      </c>
      <c r="F37" s="26">
        <v>1176.9000000000001</v>
      </c>
      <c r="G37" s="32"/>
      <c r="H37" s="32">
        <v>3932</v>
      </c>
      <c r="I37" s="32">
        <v>2273.7800000000002</v>
      </c>
      <c r="J37" s="32">
        <v>2517.79</v>
      </c>
      <c r="K37" s="32">
        <v>2217.79</v>
      </c>
      <c r="L37" s="32">
        <v>2217.79</v>
      </c>
      <c r="M37" s="32">
        <v>2217.79</v>
      </c>
      <c r="N37" s="32">
        <v>2217.79</v>
      </c>
      <c r="O37" s="32">
        <v>2336.73</v>
      </c>
      <c r="P37" s="32">
        <v>2875.66</v>
      </c>
      <c r="Q37" s="32">
        <v>2336.73</v>
      </c>
      <c r="R37" s="32">
        <v>14333.98</v>
      </c>
      <c r="S37" s="32">
        <v>2358.3000000000002</v>
      </c>
      <c r="U37" s="32">
        <v>3356.95</v>
      </c>
      <c r="V37" s="32">
        <v>2411.5100000000002</v>
      </c>
      <c r="W37" s="32">
        <v>2481.5100000000002</v>
      </c>
      <c r="X37" s="32">
        <v>2641.39</v>
      </c>
      <c r="Y37" s="32">
        <v>2641.39</v>
      </c>
      <c r="Z37" s="32">
        <v>2641.39</v>
      </c>
      <c r="AA37" s="32">
        <v>2641.39</v>
      </c>
      <c r="AB37" s="32">
        <v>1049.95</v>
      </c>
      <c r="AC37" s="32">
        <v>1049.95</v>
      </c>
      <c r="AD37" s="32">
        <v>1049.95</v>
      </c>
      <c r="AE37" s="32"/>
      <c r="AF37" s="32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3">
        <f>SUM(C30*C45)</f>
        <v>0</v>
      </c>
      <c r="D44" s="33">
        <f t="shared" ref="D44:F44" si="44">SUM(D30*D45)</f>
        <v>17021.964</v>
      </c>
      <c r="E44" s="33">
        <f t="shared" si="44"/>
        <v>542261.48339999991</v>
      </c>
      <c r="F44" s="33">
        <f t="shared" si="44"/>
        <v>465414.56399999995</v>
      </c>
      <c r="G44" s="33"/>
      <c r="H44" s="33">
        <f t="shared" ref="H44:S44" si="45">SUM(H30*H45)</f>
        <v>43150.400000000001</v>
      </c>
      <c r="I44" s="33">
        <f t="shared" si="45"/>
        <v>289273.74559999997</v>
      </c>
      <c r="J44" s="33">
        <f t="shared" si="45"/>
        <v>273895.56439999997</v>
      </c>
      <c r="K44" s="33">
        <f t="shared" si="45"/>
        <v>313947.70540000004</v>
      </c>
      <c r="L44" s="33">
        <f t="shared" si="45"/>
        <v>329443.06780000002</v>
      </c>
      <c r="M44" s="33">
        <f t="shared" si="45"/>
        <v>321632.90530000004</v>
      </c>
      <c r="N44" s="33">
        <f t="shared" si="45"/>
        <v>311719.20569999999</v>
      </c>
      <c r="O44" s="33">
        <f t="shared" si="45"/>
        <v>293622.89040000003</v>
      </c>
      <c r="P44" s="33">
        <f t="shared" si="45"/>
        <v>203139.4388</v>
      </c>
      <c r="Q44" s="33">
        <f t="shared" si="45"/>
        <v>282527.58990000002</v>
      </c>
      <c r="R44" s="33">
        <f t="shared" si="45"/>
        <v>-1452948.2387999999</v>
      </c>
      <c r="S44" s="33">
        <f t="shared" si="45"/>
        <v>290145.25799999997</v>
      </c>
      <c r="T44" s="33"/>
      <c r="U44" s="33">
        <f t="shared" ref="U44:AF44" si="46">SUM(U30*U45)</f>
        <v>138626.36600000001</v>
      </c>
      <c r="V44" s="33">
        <f t="shared" si="46"/>
        <v>291728.87119999994</v>
      </c>
      <c r="W44" s="33">
        <f t="shared" si="46"/>
        <v>291170.40899999993</v>
      </c>
      <c r="X44" s="33">
        <f t="shared" si="46"/>
        <v>270908.81430000003</v>
      </c>
      <c r="Y44" s="33">
        <f t="shared" si="46"/>
        <v>270787.74160000001</v>
      </c>
      <c r="Z44" s="33">
        <f t="shared" si="46"/>
        <v>265771.8726</v>
      </c>
      <c r="AA44" s="33">
        <f t="shared" si="46"/>
        <v>269490.53410000005</v>
      </c>
      <c r="AB44" s="33">
        <f t="shared" si="46"/>
        <v>530969.47400000005</v>
      </c>
      <c r="AC44" s="33">
        <f t="shared" si="46"/>
        <v>532663.2095</v>
      </c>
      <c r="AD44" s="33">
        <f t="shared" si="46"/>
        <v>0</v>
      </c>
      <c r="AE44" s="33">
        <f t="shared" si="46"/>
        <v>0</v>
      </c>
      <c r="AF44" s="33">
        <f t="shared" si="46"/>
        <v>0</v>
      </c>
    </row>
    <row r="45" spans="1:32">
      <c r="A45" s="12" t="s">
        <v>20</v>
      </c>
      <c r="B45" s="29"/>
      <c r="C45" s="33">
        <f t="shared" ref="C45:F45" si="47">SUM(C31-C36-C37)</f>
        <v>0</v>
      </c>
      <c r="D45" s="33">
        <f t="shared" si="47"/>
        <v>108.6</v>
      </c>
      <c r="E45" s="33">
        <f t="shared" si="47"/>
        <v>3366.62</v>
      </c>
      <c r="F45" s="33">
        <f t="shared" si="47"/>
        <v>3053.1</v>
      </c>
      <c r="G45" s="33"/>
      <c r="H45" s="33">
        <f t="shared" ref="H45:S45" si="48">SUM(H31-H36-H37)</f>
        <v>298</v>
      </c>
      <c r="I45" s="33">
        <f t="shared" si="48"/>
        <v>2026.7199999999998</v>
      </c>
      <c r="J45" s="33">
        <f t="shared" si="48"/>
        <v>1782.71</v>
      </c>
      <c r="K45" s="33">
        <f t="shared" si="48"/>
        <v>2082.71</v>
      </c>
      <c r="L45" s="33">
        <f t="shared" si="48"/>
        <v>2082.71</v>
      </c>
      <c r="M45" s="33">
        <f t="shared" si="48"/>
        <v>2082.71</v>
      </c>
      <c r="N45" s="33">
        <f t="shared" si="48"/>
        <v>2082.71</v>
      </c>
      <c r="O45" s="33">
        <f t="shared" si="48"/>
        <v>1963.77</v>
      </c>
      <c r="P45" s="33">
        <f t="shared" si="48"/>
        <v>1424.8400000000001</v>
      </c>
      <c r="Q45" s="33">
        <f t="shared" si="48"/>
        <v>1963.77</v>
      </c>
      <c r="R45" s="33">
        <f t="shared" si="48"/>
        <v>-10033.48</v>
      </c>
      <c r="S45" s="33">
        <f t="shared" si="48"/>
        <v>1942.1999999999998</v>
      </c>
      <c r="T45" s="33"/>
      <c r="U45" s="33">
        <f t="shared" ref="U45:AF45" si="49">SUM(U31-U36-U37)</f>
        <v>943.55000000000018</v>
      </c>
      <c r="V45" s="33">
        <f t="shared" si="49"/>
        <v>1959.4899999999998</v>
      </c>
      <c r="W45" s="33">
        <f t="shared" si="49"/>
        <v>1889.4899999999998</v>
      </c>
      <c r="X45" s="33">
        <f t="shared" si="49"/>
        <v>1729.6100000000001</v>
      </c>
      <c r="Y45" s="33">
        <f t="shared" si="49"/>
        <v>1729.6100000000001</v>
      </c>
      <c r="Z45" s="33">
        <f t="shared" si="49"/>
        <v>1729.6100000000001</v>
      </c>
      <c r="AA45" s="33">
        <f t="shared" si="49"/>
        <v>1729.6100000000001</v>
      </c>
      <c r="AB45" s="33">
        <f t="shared" si="49"/>
        <v>3321.05</v>
      </c>
      <c r="AC45" s="33">
        <f t="shared" si="49"/>
        <v>3321.05</v>
      </c>
      <c r="AD45" s="33">
        <f t="shared" si="49"/>
        <v>-1049.95</v>
      </c>
      <c r="AE45" s="33">
        <f t="shared" si="49"/>
        <v>0</v>
      </c>
      <c r="AF45" s="33">
        <f t="shared" si="49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51" spans="18:19">
      <c r="R51">
        <v>1050.02</v>
      </c>
      <c r="S51">
        <v>1049.9100000000001</v>
      </c>
    </row>
    <row r="52" spans="18:19">
      <c r="R52">
        <v>1049.94</v>
      </c>
      <c r="S52">
        <v>1049.95</v>
      </c>
    </row>
    <row r="53" spans="18:19">
      <c r="R53">
        <v>1049.94</v>
      </c>
      <c r="S53">
        <v>1049.95</v>
      </c>
    </row>
    <row r="54" spans="18:19">
      <c r="R54">
        <v>1049.94</v>
      </c>
      <c r="S54">
        <v>1049.95</v>
      </c>
    </row>
    <row r="55" spans="18:19">
      <c r="R55">
        <v>1049.94</v>
      </c>
      <c r="S55">
        <v>1049.95</v>
      </c>
    </row>
    <row r="56" spans="18:19">
      <c r="R56">
        <v>1049.94</v>
      </c>
      <c r="S56">
        <v>1049.95</v>
      </c>
    </row>
    <row r="57" spans="18:19">
      <c r="R57">
        <v>1049.94</v>
      </c>
      <c r="S57">
        <v>1049.95</v>
      </c>
    </row>
    <row r="58" spans="18:19">
      <c r="R58">
        <v>1049.94</v>
      </c>
      <c r="S58">
        <v>1049.95</v>
      </c>
    </row>
    <row r="59" spans="18:19">
      <c r="R59">
        <v>1049.94</v>
      </c>
      <c r="S59">
        <v>1049.95</v>
      </c>
    </row>
    <row r="60" spans="18:19">
      <c r="R60">
        <v>1049.94</v>
      </c>
      <c r="S60">
        <v>1049.95</v>
      </c>
    </row>
    <row r="61" spans="18:19">
      <c r="R61">
        <v>1049.94</v>
      </c>
      <c r="S61">
        <v>1049.95</v>
      </c>
    </row>
    <row r="62" spans="18:19">
      <c r="R62">
        <v>1049.94</v>
      </c>
      <c r="S62">
        <v>1049.95</v>
      </c>
    </row>
    <row r="63" spans="18:19">
      <c r="R63">
        <f>SUM(R51:R62)</f>
        <v>12599.360000000004</v>
      </c>
      <c r="S63">
        <f>SUM(S51:S62)</f>
        <v>12599.360000000002</v>
      </c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B7EA-BB18-4305-B46F-365DD61C68AD}">
  <dimension ref="A1:AH106"/>
  <sheetViews>
    <sheetView zoomScale="90" zoomScaleNormal="90" workbookViewId="0">
      <pane xSplit="1" ySplit="1" topLeftCell="T2" activePane="bottomRight" state="frozen"/>
      <selection pane="bottomRight" activeCell="V26" sqref="V26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5" width="10.625" customWidth="1"/>
    <col min="6" max="6" width="11.5" bestFit="1" customWidth="1"/>
    <col min="7" max="7" width="10.375" customWidth="1"/>
    <col min="8" max="8" width="10.75" customWidth="1"/>
    <col min="9" max="19" width="10.875" customWidth="1"/>
    <col min="20" max="20" width="10.75" customWidth="1"/>
    <col min="21" max="32" width="11.5" bestFit="1" customWidth="1"/>
    <col min="33" max="33" width="9.375" bestFit="1" customWidth="1"/>
  </cols>
  <sheetData>
    <row r="1" spans="1:34">
      <c r="A1" s="23" t="s">
        <v>35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146559000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977060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B6*B5</f>
        <v>652500</v>
      </c>
      <c r="C4" s="24"/>
      <c r="D4" s="24"/>
      <c r="E4" s="24"/>
      <c r="F4" s="24">
        <f t="shared" ref="F4:S4" si="0">F5*F6</f>
        <v>509448.3824</v>
      </c>
      <c r="G4" s="24"/>
      <c r="H4" s="24">
        <f t="shared" si="0"/>
        <v>608160</v>
      </c>
      <c r="I4" s="24">
        <f t="shared" si="0"/>
        <v>599466</v>
      </c>
      <c r="J4" s="24">
        <f t="shared" si="0"/>
        <v>654116.1544</v>
      </c>
      <c r="K4" s="24">
        <f t="shared" si="0"/>
        <v>644520.52540000004</v>
      </c>
      <c r="L4" s="24">
        <f t="shared" si="0"/>
        <v>673462.42259999993</v>
      </c>
      <c r="M4" s="24">
        <f t="shared" si="0"/>
        <v>656647.17009999999</v>
      </c>
      <c r="N4" s="24">
        <f t="shared" si="0"/>
        <v>634790.88089999999</v>
      </c>
      <c r="O4" s="24">
        <f t="shared" si="0"/>
        <v>633652.30319999997</v>
      </c>
      <c r="P4" s="24">
        <f t="shared" si="0"/>
        <v>624379.61219999997</v>
      </c>
      <c r="Q4" s="24">
        <f t="shared" si="0"/>
        <v>631461.25569999998</v>
      </c>
      <c r="R4" s="24">
        <f t="shared" si="0"/>
        <v>635046.87780000002</v>
      </c>
      <c r="S4" s="24">
        <f t="shared" si="0"/>
        <v>655819.11219999986</v>
      </c>
      <c r="T4" s="24"/>
      <c r="U4" s="24">
        <f t="shared" ref="U4:AF4" si="1">U5*U6</f>
        <v>650730.71799999988</v>
      </c>
      <c r="V4" s="24">
        <f t="shared" si="1"/>
        <v>661249.03119999997</v>
      </c>
      <c r="W4" s="24">
        <f t="shared" si="1"/>
        <v>685210.27299999993</v>
      </c>
      <c r="X4" s="24">
        <f t="shared" si="1"/>
        <v>694937.5503</v>
      </c>
      <c r="Y4" s="24">
        <f t="shared" si="1"/>
        <v>695344.01840000006</v>
      </c>
      <c r="Z4" s="24">
        <f t="shared" si="1"/>
        <v>676409.78339999996</v>
      </c>
      <c r="AA4" s="24">
        <f t="shared" si="1"/>
        <v>685749.41389999993</v>
      </c>
      <c r="AB4" s="24">
        <f t="shared" si="1"/>
        <v>702511.12119999994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4350</v>
      </c>
      <c r="C6" s="26">
        <v>0</v>
      </c>
      <c r="D6" s="26">
        <v>0</v>
      </c>
      <c r="E6" s="26">
        <v>0</v>
      </c>
      <c r="F6" s="26">
        <v>3341.96</v>
      </c>
      <c r="G6" s="24"/>
      <c r="H6" s="26">
        <v>4200</v>
      </c>
      <c r="I6" s="26">
        <v>4200</v>
      </c>
      <c r="J6" s="26">
        <v>4257.46</v>
      </c>
      <c r="K6" s="26">
        <v>4275.71</v>
      </c>
      <c r="L6" s="26">
        <v>4257.57</v>
      </c>
      <c r="M6" s="26">
        <v>4252.07</v>
      </c>
      <c r="N6" s="26">
        <v>4241.2700000000004</v>
      </c>
      <c r="O6" s="26">
        <v>4237.91</v>
      </c>
      <c r="P6" s="26">
        <v>4379.46</v>
      </c>
      <c r="Q6" s="26">
        <v>4389.1099999999997</v>
      </c>
      <c r="R6" s="26">
        <v>4385.38</v>
      </c>
      <c r="S6" s="26">
        <v>4389.9799999999996</v>
      </c>
      <c r="T6" s="24"/>
      <c r="U6" s="26">
        <v>4429.1499999999996</v>
      </c>
      <c r="V6" s="26">
        <v>4441.49</v>
      </c>
      <c r="W6" s="26">
        <v>4446.53</v>
      </c>
      <c r="X6" s="26">
        <v>4436.8100000000004</v>
      </c>
      <c r="Y6" s="26">
        <v>4441.3900000000003</v>
      </c>
      <c r="Z6" s="26">
        <v>4401.99</v>
      </c>
      <c r="AA6" s="72">
        <v>4401.1899999999996</v>
      </c>
      <c r="AB6" s="26">
        <v>4393.99</v>
      </c>
      <c r="AC6" s="26"/>
      <c r="AD6" s="26"/>
      <c r="AE6" s="26"/>
      <c r="AF6" s="26">
        <v>0</v>
      </c>
    </row>
    <row r="7" spans="1:34">
      <c r="A7" s="12" t="s">
        <v>7</v>
      </c>
      <c r="B7" s="24">
        <v>132753513</v>
      </c>
      <c r="C7" s="24"/>
      <c r="D7" s="24"/>
      <c r="E7" s="24"/>
      <c r="F7" s="25">
        <v>1239032</v>
      </c>
      <c r="G7" s="25"/>
      <c r="H7" s="25">
        <v>1239032</v>
      </c>
      <c r="I7" s="25">
        <v>1239032</v>
      </c>
      <c r="J7" s="25">
        <v>1239032</v>
      </c>
      <c r="K7" s="25">
        <v>1239032</v>
      </c>
      <c r="L7" s="25">
        <v>1239032</v>
      </c>
      <c r="M7" s="25">
        <v>1239036</v>
      </c>
      <c r="N7" s="25">
        <v>1239032</v>
      </c>
      <c r="O7" s="25">
        <v>1239032</v>
      </c>
      <c r="P7" s="25">
        <v>1239032</v>
      </c>
      <c r="Q7" s="25">
        <v>1239032</v>
      </c>
      <c r="R7" s="25">
        <v>1239032</v>
      </c>
      <c r="S7" s="25">
        <v>1239037</v>
      </c>
      <c r="T7" s="25"/>
      <c r="U7" s="25">
        <v>1239032</v>
      </c>
      <c r="V7" s="25">
        <v>1239032</v>
      </c>
      <c r="W7" s="25">
        <v>1239032</v>
      </c>
      <c r="X7" s="25">
        <v>1239032</v>
      </c>
      <c r="Y7" s="25">
        <v>1239032</v>
      </c>
      <c r="Z7" s="25">
        <v>1239036</v>
      </c>
      <c r="AA7" s="25">
        <v>1239032</v>
      </c>
      <c r="AB7" s="25">
        <v>1239032</v>
      </c>
      <c r="AC7" s="25">
        <v>1239032</v>
      </c>
      <c r="AD7" s="25">
        <v>1239032</v>
      </c>
      <c r="AE7" s="25">
        <v>1239032</v>
      </c>
      <c r="AF7" s="25">
        <v>1239037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132753513</v>
      </c>
      <c r="C9" s="24"/>
      <c r="D9" s="24"/>
      <c r="E9" s="24"/>
      <c r="F9" s="25">
        <f>SUM(B9-F7)</f>
        <v>131514481</v>
      </c>
      <c r="G9" s="25"/>
      <c r="H9" s="25">
        <f>SUM(F9-H7)</f>
        <v>130275449</v>
      </c>
      <c r="I9" s="25">
        <f>SUM(H9-I7)</f>
        <v>129036417</v>
      </c>
      <c r="J9" s="25">
        <f t="shared" ref="J9:S9" si="2">SUM(I9-J7)</f>
        <v>127797385</v>
      </c>
      <c r="K9" s="25">
        <f t="shared" si="2"/>
        <v>126558353</v>
      </c>
      <c r="L9" s="25">
        <f t="shared" si="2"/>
        <v>125319321</v>
      </c>
      <c r="M9" s="25">
        <f t="shared" si="2"/>
        <v>124080285</v>
      </c>
      <c r="N9" s="25">
        <f t="shared" si="2"/>
        <v>122841253</v>
      </c>
      <c r="O9" s="25">
        <f t="shared" si="2"/>
        <v>121602221</v>
      </c>
      <c r="P9" s="25">
        <f t="shared" si="2"/>
        <v>120363189</v>
      </c>
      <c r="Q9" s="25">
        <f t="shared" si="2"/>
        <v>119124157</v>
      </c>
      <c r="R9" s="25">
        <f t="shared" si="2"/>
        <v>117885125</v>
      </c>
      <c r="S9" s="25">
        <f t="shared" si="2"/>
        <v>116646088</v>
      </c>
      <c r="T9" s="25"/>
      <c r="U9" s="25">
        <f>SUM(S9-U7)</f>
        <v>115407056</v>
      </c>
      <c r="V9" s="25">
        <f>SUM(U9-V7)</f>
        <v>114168024</v>
      </c>
      <c r="W9" s="25">
        <f t="shared" ref="W9" si="3">SUM(V9-W7)</f>
        <v>112928992</v>
      </c>
      <c r="X9" s="25">
        <f t="shared" ref="X9" si="4">SUM(W9-X7)</f>
        <v>111689960</v>
      </c>
      <c r="Y9" s="25">
        <f t="shared" ref="Y9" si="5">SUM(X9-Y7)</f>
        <v>110450928</v>
      </c>
      <c r="Z9" s="25">
        <f t="shared" ref="Z9" si="6">SUM(Y9-Z7)</f>
        <v>109211892</v>
      </c>
      <c r="AA9" s="25">
        <f t="shared" ref="AA9" si="7">SUM(Z9-AA7)</f>
        <v>107972860</v>
      </c>
      <c r="AB9" s="25">
        <f t="shared" ref="AB9" si="8">SUM(AA9-AB7)</f>
        <v>106733828</v>
      </c>
      <c r="AC9" s="25">
        <f t="shared" ref="AC9" si="9">SUM(AB9-AC7)</f>
        <v>105494796</v>
      </c>
      <c r="AD9" s="25">
        <f t="shared" ref="AD9" si="10">SUM(AC9-AD7)</f>
        <v>104255764</v>
      </c>
      <c r="AE9" s="25">
        <f t="shared" ref="AE9" si="11">SUM(AD9-AE7)</f>
        <v>103016732</v>
      </c>
      <c r="AF9" s="25">
        <f t="shared" ref="AF9" si="12">SUM(AE9-AF7)</f>
        <v>101777695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6"/>
      <c r="C11" s="26"/>
      <c r="D11" s="26"/>
      <c r="E11" s="26"/>
      <c r="F11" s="26">
        <v>500</v>
      </c>
      <c r="G11" s="32"/>
      <c r="H11" s="32">
        <v>336</v>
      </c>
      <c r="I11" s="32">
        <v>336</v>
      </c>
      <c r="J11" s="32">
        <v>336</v>
      </c>
      <c r="K11" s="32">
        <v>336</v>
      </c>
      <c r="L11" s="32">
        <v>336</v>
      </c>
      <c r="M11" s="32">
        <v>336</v>
      </c>
      <c r="N11" s="32">
        <v>336</v>
      </c>
      <c r="O11" s="32">
        <v>336</v>
      </c>
      <c r="P11" s="32">
        <v>348</v>
      </c>
      <c r="Q11" s="32">
        <v>348</v>
      </c>
      <c r="R11" s="32">
        <v>348</v>
      </c>
      <c r="S11" s="32">
        <v>304.5</v>
      </c>
      <c r="T11" s="32"/>
      <c r="U11" s="32">
        <v>304.5</v>
      </c>
      <c r="V11" s="32">
        <v>304.5</v>
      </c>
      <c r="W11" s="32">
        <v>304.5</v>
      </c>
      <c r="X11" s="32">
        <v>304.5</v>
      </c>
      <c r="Y11" s="32">
        <v>304.5</v>
      </c>
      <c r="Z11" s="32">
        <v>304.5</v>
      </c>
      <c r="AA11" s="71">
        <v>304.5</v>
      </c>
      <c r="AB11" s="32">
        <v>304.5</v>
      </c>
      <c r="AC11" s="32"/>
      <c r="AD11" s="32"/>
      <c r="AE11" s="32"/>
      <c r="AF11" s="32"/>
      <c r="AG11" s="64">
        <f>SUM(C36:AF36)</f>
        <v>6972.5</v>
      </c>
      <c r="AH11" t="s">
        <v>26</v>
      </c>
    </row>
    <row r="12" spans="1:34">
      <c r="A12" s="12" t="s">
        <v>12</v>
      </c>
      <c r="B12" s="26">
        <v>30144.37</v>
      </c>
      <c r="C12" s="26"/>
      <c r="D12" s="26"/>
      <c r="E12" s="26"/>
      <c r="F12" s="26">
        <v>456.96</v>
      </c>
      <c r="G12" s="32"/>
      <c r="H12" s="32">
        <v>832.34</v>
      </c>
      <c r="I12" s="32">
        <v>7379.16</v>
      </c>
      <c r="J12" s="32">
        <v>910.57</v>
      </c>
      <c r="K12" s="32">
        <v>892.43</v>
      </c>
      <c r="L12" s="32">
        <v>886.93</v>
      </c>
      <c r="M12" s="32">
        <v>893.37</v>
      </c>
      <c r="N12" s="32">
        <v>890.01</v>
      </c>
      <c r="O12" s="32">
        <v>1131.56</v>
      </c>
      <c r="P12" s="32">
        <v>1326.21</v>
      </c>
      <c r="Q12" s="32">
        <v>887.48</v>
      </c>
      <c r="R12" s="32">
        <v>10070.209999999999</v>
      </c>
      <c r="S12" s="32">
        <v>931.25</v>
      </c>
      <c r="T12" s="32"/>
      <c r="U12" s="32">
        <v>1266.95</v>
      </c>
      <c r="V12" s="32">
        <v>948.63</v>
      </c>
      <c r="W12" s="32">
        <v>938.91</v>
      </c>
      <c r="X12" s="32">
        <v>943.49</v>
      </c>
      <c r="Y12" s="32">
        <v>1484.95</v>
      </c>
      <c r="Z12" s="32">
        <v>957.1</v>
      </c>
      <c r="AA12" s="71">
        <v>949.9</v>
      </c>
      <c r="AB12" s="32">
        <v>960.43</v>
      </c>
      <c r="AC12" s="32"/>
      <c r="AD12" s="32"/>
      <c r="AE12" s="32"/>
      <c r="AF12" s="32"/>
      <c r="AG12" s="64">
        <v>7462.64</v>
      </c>
      <c r="AH12" t="s">
        <v>27</v>
      </c>
    </row>
    <row r="13" spans="1:34">
      <c r="A13" s="12" t="s">
        <v>13</v>
      </c>
      <c r="B13" s="39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15074.99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4950.8500000000004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34460.979999999996</v>
      </c>
      <c r="AH15" t="s">
        <v>30</v>
      </c>
    </row>
    <row r="16" spans="1:34">
      <c r="A16" s="12" t="s">
        <v>16</v>
      </c>
      <c r="B16" s="29"/>
      <c r="C16" s="29"/>
      <c r="D16" s="29"/>
      <c r="E16" s="40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C20*C5</f>
        <v>0</v>
      </c>
      <c r="D19" s="31">
        <f t="shared" ref="D19:S19" si="13">D20*D5</f>
        <v>0</v>
      </c>
      <c r="E19" s="31">
        <f t="shared" si="13"/>
        <v>0</v>
      </c>
      <c r="F19" s="31">
        <f t="shared" si="13"/>
        <v>363569.4</v>
      </c>
      <c r="G19" s="31"/>
      <c r="H19" s="31">
        <f t="shared" si="13"/>
        <v>438984.36800000002</v>
      </c>
      <c r="I19" s="31">
        <f t="shared" si="13"/>
        <v>-501718.78679999994</v>
      </c>
      <c r="J19" s="31">
        <f t="shared" si="13"/>
        <v>462593.13959999994</v>
      </c>
      <c r="K19" s="31">
        <f t="shared" si="13"/>
        <v>459346.98720000003</v>
      </c>
      <c r="L19" s="31">
        <f t="shared" si="13"/>
        <v>480019.35519999999</v>
      </c>
      <c r="M19" s="31">
        <f t="shared" si="13"/>
        <v>466795.56099999999</v>
      </c>
      <c r="N19" s="31">
        <f t="shared" si="13"/>
        <v>451293.96419999999</v>
      </c>
      <c r="O19" s="31">
        <f t="shared" si="13"/>
        <v>414222.73200000002</v>
      </c>
      <c r="P19" s="31">
        <f t="shared" si="13"/>
        <v>385687.49249999999</v>
      </c>
      <c r="Q19" s="31">
        <f t="shared" si="13"/>
        <v>453712.74809999997</v>
      </c>
      <c r="R19" s="31">
        <f t="shared" si="13"/>
        <v>-873614.11229999992</v>
      </c>
      <c r="S19" s="31">
        <f t="shared" si="13"/>
        <v>471210.41969999991</v>
      </c>
      <c r="T19" s="31"/>
      <c r="U19" s="31">
        <f t="shared" ref="U19:AF19" si="14">U20*U5</f>
        <v>419853.28399999993</v>
      </c>
      <c r="V19" s="31">
        <f t="shared" si="14"/>
        <v>474683.03679999994</v>
      </c>
      <c r="W19" s="31">
        <f t="shared" si="14"/>
        <v>493600.79199999996</v>
      </c>
      <c r="X19" s="31">
        <f t="shared" si="14"/>
        <v>499464.87660000008</v>
      </c>
      <c r="Y19" s="31">
        <f t="shared" si="14"/>
        <v>415187.7264000001</v>
      </c>
      <c r="Z19" s="31">
        <f t="shared" si="14"/>
        <v>482552.32739999995</v>
      </c>
      <c r="AA19" s="31">
        <f t="shared" si="14"/>
        <v>490301.34989999991</v>
      </c>
      <c r="AB19" s="31">
        <f t="shared" si="14"/>
        <v>500274.1128</v>
      </c>
      <c r="AC19" s="31">
        <f t="shared" si="14"/>
        <v>0</v>
      </c>
      <c r="AD19" s="31">
        <f t="shared" si="14"/>
        <v>0</v>
      </c>
      <c r="AE19" s="31">
        <f t="shared" si="14"/>
        <v>0</v>
      </c>
      <c r="AF19" s="31">
        <f t="shared" si="1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15">SUM(D6-D11-D12)</f>
        <v>0</v>
      </c>
      <c r="E20" s="33">
        <f t="shared" si="15"/>
        <v>0</v>
      </c>
      <c r="F20" s="33">
        <f t="shared" si="15"/>
        <v>2385</v>
      </c>
      <c r="G20" s="33"/>
      <c r="H20" s="33">
        <f t="shared" si="15"/>
        <v>3031.66</v>
      </c>
      <c r="I20" s="33">
        <f t="shared" si="15"/>
        <v>-3515.16</v>
      </c>
      <c r="J20" s="33">
        <f t="shared" si="15"/>
        <v>3010.89</v>
      </c>
      <c r="K20" s="33">
        <f t="shared" si="15"/>
        <v>3047.28</v>
      </c>
      <c r="L20" s="33">
        <f t="shared" si="15"/>
        <v>3034.64</v>
      </c>
      <c r="M20" s="33">
        <f t="shared" si="15"/>
        <v>3022.7</v>
      </c>
      <c r="N20" s="33">
        <f t="shared" si="15"/>
        <v>3015.26</v>
      </c>
      <c r="O20" s="33">
        <f t="shared" si="15"/>
        <v>2770.35</v>
      </c>
      <c r="P20" s="33">
        <f t="shared" si="15"/>
        <v>2705.25</v>
      </c>
      <c r="Q20" s="33">
        <f t="shared" si="15"/>
        <v>3153.6299999999997</v>
      </c>
      <c r="R20" s="33">
        <f t="shared" si="15"/>
        <v>-6032.829999999999</v>
      </c>
      <c r="S20" s="33">
        <f t="shared" si="15"/>
        <v>3154.2299999999996</v>
      </c>
      <c r="T20" s="33"/>
      <c r="U20" s="33">
        <f t="shared" ref="U20:AF20" si="16">SUM(U6-U11-U12)</f>
        <v>2857.7</v>
      </c>
      <c r="V20" s="33">
        <f t="shared" si="16"/>
        <v>3188.3599999999997</v>
      </c>
      <c r="W20" s="33">
        <f t="shared" si="16"/>
        <v>3203.12</v>
      </c>
      <c r="X20" s="33">
        <f t="shared" si="16"/>
        <v>3188.8200000000006</v>
      </c>
      <c r="Y20" s="33">
        <f t="shared" si="16"/>
        <v>2651.9400000000005</v>
      </c>
      <c r="Z20" s="33">
        <f t="shared" si="16"/>
        <v>3140.39</v>
      </c>
      <c r="AA20" s="33">
        <f t="shared" si="16"/>
        <v>3146.7899999999995</v>
      </c>
      <c r="AB20" s="33">
        <f t="shared" si="16"/>
        <v>3129.06</v>
      </c>
      <c r="AC20" s="33">
        <f t="shared" si="16"/>
        <v>0</v>
      </c>
      <c r="AD20" s="33">
        <f t="shared" si="16"/>
        <v>0</v>
      </c>
      <c r="AE20" s="33">
        <f t="shared" si="16"/>
        <v>0</v>
      </c>
      <c r="AF20" s="33">
        <f t="shared" si="1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s="36" customFormat="1">
      <c r="A23" s="35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32" s="36" customFormat="1">
      <c r="A24" s="35" t="s">
        <v>23</v>
      </c>
      <c r="B24" s="68">
        <v>45481</v>
      </c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23" t="s">
        <v>35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6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12" t="s">
        <v>1</v>
      </c>
      <c r="B27" s="24">
        <f>B28*150</f>
        <v>146559000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spans="1:32" s="36" customFormat="1">
      <c r="A28" s="12" t="s">
        <v>2</v>
      </c>
      <c r="B28" s="24">
        <v>977060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s="36" customFormat="1">
      <c r="A29" s="12" t="s">
        <v>3</v>
      </c>
      <c r="B29" s="24">
        <f>B31*B30</f>
        <v>652500</v>
      </c>
      <c r="C29" s="24"/>
      <c r="D29" s="24"/>
      <c r="E29" s="24"/>
      <c r="F29" s="24">
        <f t="shared" ref="F29" si="17">F30*F31</f>
        <v>509448.3824</v>
      </c>
      <c r="G29" s="24"/>
      <c r="H29" s="24">
        <f t="shared" ref="H29:S29" si="18">H30*H31</f>
        <v>608160</v>
      </c>
      <c r="I29" s="24">
        <f t="shared" si="18"/>
        <v>599466</v>
      </c>
      <c r="J29" s="24">
        <f t="shared" si="18"/>
        <v>654116.1544</v>
      </c>
      <c r="K29" s="24">
        <f t="shared" si="18"/>
        <v>644520.52540000004</v>
      </c>
      <c r="L29" s="24">
        <f t="shared" si="18"/>
        <v>673462.42259999993</v>
      </c>
      <c r="M29" s="24">
        <f t="shared" si="18"/>
        <v>656647.17009999999</v>
      </c>
      <c r="N29" s="24">
        <f t="shared" si="18"/>
        <v>634790.88089999999</v>
      </c>
      <c r="O29" s="24">
        <f t="shared" si="18"/>
        <v>633652.30319999997</v>
      </c>
      <c r="P29" s="24">
        <f t="shared" si="18"/>
        <v>624379.61219999997</v>
      </c>
      <c r="Q29" s="24">
        <f t="shared" si="18"/>
        <v>631461.25569999998</v>
      </c>
      <c r="R29" s="24">
        <f t="shared" si="18"/>
        <v>635046.87780000002</v>
      </c>
      <c r="S29" s="24">
        <f t="shared" si="18"/>
        <v>655819.11219999986</v>
      </c>
      <c r="T29" s="24"/>
      <c r="U29" s="24">
        <f t="shared" ref="U29:AF29" si="19">U30*U31</f>
        <v>650730.71799999988</v>
      </c>
      <c r="V29" s="24">
        <f t="shared" si="19"/>
        <v>661249.03119999997</v>
      </c>
      <c r="W29" s="24">
        <f t="shared" si="19"/>
        <v>685210.27299999993</v>
      </c>
      <c r="X29" s="24">
        <f t="shared" si="19"/>
        <v>694937.5503</v>
      </c>
      <c r="Y29" s="24">
        <f t="shared" si="19"/>
        <v>695344.01840000006</v>
      </c>
      <c r="Z29" s="24">
        <f t="shared" si="19"/>
        <v>676409.78339999996</v>
      </c>
      <c r="AA29" s="24">
        <f t="shared" si="19"/>
        <v>685749.41389999993</v>
      </c>
      <c r="AB29" s="24">
        <f t="shared" si="19"/>
        <v>702511.12119999994</v>
      </c>
      <c r="AC29" s="24">
        <f t="shared" si="19"/>
        <v>0</v>
      </c>
      <c r="AD29" s="24">
        <f t="shared" si="19"/>
        <v>0</v>
      </c>
      <c r="AE29" s="24">
        <f t="shared" si="19"/>
        <v>0</v>
      </c>
      <c r="AF29" s="24">
        <f t="shared" si="19"/>
        <v>0</v>
      </c>
    </row>
    <row r="30" spans="1:32" s="36" customFormat="1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36" customFormat="1">
      <c r="A31" s="12" t="s">
        <v>6</v>
      </c>
      <c r="B31" s="26">
        <v>4350</v>
      </c>
      <c r="C31" s="26">
        <v>0</v>
      </c>
      <c r="D31" s="26">
        <v>0</v>
      </c>
      <c r="E31" s="26">
        <v>0</v>
      </c>
      <c r="F31" s="26">
        <v>3341.96</v>
      </c>
      <c r="G31" s="24"/>
      <c r="H31" s="26">
        <v>4200</v>
      </c>
      <c r="I31" s="26">
        <v>4200</v>
      </c>
      <c r="J31" s="26">
        <v>4257.46</v>
      </c>
      <c r="K31" s="26">
        <v>4275.71</v>
      </c>
      <c r="L31" s="26">
        <v>4257.57</v>
      </c>
      <c r="M31" s="26">
        <v>4252.07</v>
      </c>
      <c r="N31" s="26">
        <v>4241.2700000000004</v>
      </c>
      <c r="O31" s="26">
        <v>4237.91</v>
      </c>
      <c r="P31" s="26">
        <v>4379.46</v>
      </c>
      <c r="Q31" s="26">
        <v>4389.1099999999997</v>
      </c>
      <c r="R31" s="26">
        <v>4385.38</v>
      </c>
      <c r="S31" s="26">
        <v>4389.9799999999996</v>
      </c>
      <c r="T31" s="24"/>
      <c r="U31" s="26">
        <v>4429.1499999999996</v>
      </c>
      <c r="V31" s="26">
        <v>4441.49</v>
      </c>
      <c r="W31" s="26">
        <v>4446.53</v>
      </c>
      <c r="X31" s="26">
        <v>4436.8100000000004</v>
      </c>
      <c r="Y31" s="26">
        <v>4441.3900000000003</v>
      </c>
      <c r="Z31" s="26">
        <v>4401.99</v>
      </c>
      <c r="AA31" s="72">
        <v>4401.1899999999996</v>
      </c>
      <c r="AB31" s="26">
        <v>4393.99</v>
      </c>
      <c r="AC31" s="26"/>
      <c r="AD31" s="26"/>
      <c r="AE31" s="26"/>
      <c r="AF31" s="26"/>
    </row>
    <row r="32" spans="1:32" s="36" customFormat="1">
      <c r="A32" s="12" t="s">
        <v>7</v>
      </c>
      <c r="B32" s="24">
        <v>132753513</v>
      </c>
      <c r="C32" s="24"/>
      <c r="D32" s="24"/>
      <c r="E32" s="24"/>
      <c r="F32" s="24">
        <v>1239032</v>
      </c>
      <c r="G32" s="25"/>
      <c r="H32" s="25">
        <v>1239032</v>
      </c>
      <c r="I32" s="25">
        <v>1239032</v>
      </c>
      <c r="J32" s="25">
        <v>1239032</v>
      </c>
      <c r="K32" s="25">
        <v>1239032</v>
      </c>
      <c r="L32" s="25">
        <v>1239032</v>
      </c>
      <c r="M32" s="25">
        <v>1239036</v>
      </c>
      <c r="N32" s="25">
        <v>1239032</v>
      </c>
      <c r="O32" s="25">
        <v>1239032</v>
      </c>
      <c r="P32" s="25">
        <v>1239032</v>
      </c>
      <c r="Q32" s="25">
        <v>1239032</v>
      </c>
      <c r="R32" s="25">
        <v>1239032</v>
      </c>
      <c r="S32" s="25">
        <v>1239037</v>
      </c>
      <c r="T32" s="25"/>
      <c r="U32" s="25">
        <v>1239032</v>
      </c>
      <c r="V32" s="25">
        <v>1239032</v>
      </c>
      <c r="W32" s="25">
        <v>1239032</v>
      </c>
      <c r="X32" s="25">
        <v>1239032</v>
      </c>
      <c r="Y32" s="25">
        <v>1239032</v>
      </c>
      <c r="Z32" s="25">
        <v>1239036</v>
      </c>
      <c r="AA32" s="25">
        <v>1239032</v>
      </c>
      <c r="AB32" s="25">
        <v>1239032</v>
      </c>
      <c r="AC32" s="25">
        <v>1239032</v>
      </c>
      <c r="AD32" s="25">
        <v>1239032</v>
      </c>
      <c r="AE32" s="25">
        <v>1239032</v>
      </c>
      <c r="AF32" s="25">
        <v>1239037</v>
      </c>
    </row>
    <row r="33" spans="1:32" s="36" customFormat="1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s="36" customFormat="1">
      <c r="A34" s="12" t="s">
        <v>9</v>
      </c>
      <c r="B34" s="24">
        <v>132753513</v>
      </c>
      <c r="C34" s="24"/>
      <c r="D34" s="24"/>
      <c r="E34" s="24"/>
      <c r="F34" s="24">
        <f>SUM(B34-F32)</f>
        <v>131514481</v>
      </c>
      <c r="G34" s="25"/>
      <c r="H34" s="25">
        <f>SUM(F34-H32)</f>
        <v>130275449</v>
      </c>
      <c r="I34" s="25">
        <f>SUM(H34-I32)</f>
        <v>129036417</v>
      </c>
      <c r="J34" s="25">
        <f t="shared" ref="J34" si="20">SUM(I34-J32)</f>
        <v>127797385</v>
      </c>
      <c r="K34" s="25">
        <f t="shared" ref="K34" si="21">SUM(J34-K32)</f>
        <v>126558353</v>
      </c>
      <c r="L34" s="25">
        <f t="shared" ref="L34" si="22">SUM(K34-L32)</f>
        <v>125319321</v>
      </c>
      <c r="M34" s="25">
        <f t="shared" ref="M34" si="23">SUM(L34-M32)</f>
        <v>124080285</v>
      </c>
      <c r="N34" s="25">
        <f t="shared" ref="N34" si="24">SUM(M34-N32)</f>
        <v>122841253</v>
      </c>
      <c r="O34" s="25">
        <f t="shared" ref="O34" si="25">SUM(N34-O32)</f>
        <v>121602221</v>
      </c>
      <c r="P34" s="25">
        <f t="shared" ref="P34" si="26">SUM(O34-P32)</f>
        <v>120363189</v>
      </c>
      <c r="Q34" s="25">
        <f t="shared" ref="Q34" si="27">SUM(P34-Q32)</f>
        <v>119124157</v>
      </c>
      <c r="R34" s="25">
        <f t="shared" ref="R34" si="28">SUM(Q34-R32)</f>
        <v>117885125</v>
      </c>
      <c r="S34" s="25">
        <f t="shared" ref="S34" si="29">SUM(R34-S32)</f>
        <v>116646088</v>
      </c>
      <c r="T34" s="25"/>
      <c r="U34" s="25">
        <f>SUM(S34-U32)</f>
        <v>115407056</v>
      </c>
      <c r="V34" s="25">
        <f>SUM(U34-V32)</f>
        <v>114168024</v>
      </c>
      <c r="W34" s="25">
        <f t="shared" ref="W34" si="30">SUM(V34-W32)</f>
        <v>112928992</v>
      </c>
      <c r="X34" s="25">
        <f t="shared" ref="X34" si="31">SUM(W34-X32)</f>
        <v>111689960</v>
      </c>
      <c r="Y34" s="25">
        <f t="shared" ref="Y34" si="32">SUM(X34-Y32)</f>
        <v>110450928</v>
      </c>
      <c r="Z34" s="25">
        <f t="shared" ref="Z34" si="33">SUM(Y34-Z32)</f>
        <v>109211892</v>
      </c>
      <c r="AA34" s="25">
        <f t="shared" ref="AA34" si="34">SUM(Z34-AA32)</f>
        <v>107972860</v>
      </c>
      <c r="AB34" s="25">
        <f t="shared" ref="AB34" si="35">SUM(AA34-AB32)</f>
        <v>106733828</v>
      </c>
      <c r="AC34" s="25">
        <f t="shared" ref="AC34" si="36">SUM(AB34-AC32)</f>
        <v>105494796</v>
      </c>
      <c r="AD34" s="25">
        <f t="shared" ref="AD34" si="37">SUM(AC34-AD32)</f>
        <v>104255764</v>
      </c>
      <c r="AE34" s="25">
        <f t="shared" ref="AE34" si="38">SUM(AD34-AE32)</f>
        <v>103016732</v>
      </c>
      <c r="AF34" s="25">
        <f t="shared" ref="AF34" si="39">SUM(AE34-AF32)</f>
        <v>101777695</v>
      </c>
    </row>
    <row r="35" spans="1:32" s="36" customFormat="1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s="36" customFormat="1">
      <c r="A36" s="12" t="s">
        <v>11</v>
      </c>
      <c r="B36" s="26"/>
      <c r="C36" s="26"/>
      <c r="D36" s="26"/>
      <c r="E36" s="26"/>
      <c r="F36" s="26">
        <v>500</v>
      </c>
      <c r="G36" s="32"/>
      <c r="H36" s="32">
        <v>336</v>
      </c>
      <c r="I36" s="32">
        <v>336</v>
      </c>
      <c r="J36" s="32">
        <v>336</v>
      </c>
      <c r="K36" s="32">
        <v>336</v>
      </c>
      <c r="L36" s="32">
        <v>336</v>
      </c>
      <c r="M36" s="32">
        <v>336</v>
      </c>
      <c r="N36" s="32">
        <v>336</v>
      </c>
      <c r="O36" s="32">
        <v>336</v>
      </c>
      <c r="P36" s="32">
        <v>348</v>
      </c>
      <c r="Q36" s="32">
        <v>348</v>
      </c>
      <c r="R36" s="32">
        <v>348</v>
      </c>
      <c r="S36" s="32">
        <v>304.5</v>
      </c>
      <c r="T36" s="32"/>
      <c r="U36" s="32">
        <v>304.5</v>
      </c>
      <c r="V36" s="32">
        <v>304.5</v>
      </c>
      <c r="W36" s="32">
        <v>304.5</v>
      </c>
      <c r="X36" s="32">
        <v>304.5</v>
      </c>
      <c r="Y36" s="32">
        <v>304.5</v>
      </c>
      <c r="Z36" s="32">
        <v>304.5</v>
      </c>
      <c r="AA36" s="71">
        <v>304.5</v>
      </c>
      <c r="AB36" s="32">
        <v>304.5</v>
      </c>
      <c r="AC36" s="32"/>
      <c r="AD36" s="32"/>
      <c r="AE36" s="32"/>
      <c r="AF36" s="32"/>
    </row>
    <row r="37" spans="1:32" s="36" customFormat="1">
      <c r="A37" s="12" t="s">
        <v>12</v>
      </c>
      <c r="B37" s="26">
        <v>30144.37</v>
      </c>
      <c r="C37" s="26"/>
      <c r="D37" s="26"/>
      <c r="E37" s="26"/>
      <c r="F37" s="26">
        <v>456.96</v>
      </c>
      <c r="G37" s="32"/>
      <c r="H37" s="32">
        <v>832.34</v>
      </c>
      <c r="I37" s="32">
        <v>1645.88</v>
      </c>
      <c r="J37" s="32">
        <v>1627.23</v>
      </c>
      <c r="K37" s="32">
        <v>1609.09</v>
      </c>
      <c r="L37" s="32">
        <v>1603.59</v>
      </c>
      <c r="M37" s="32">
        <v>1610.03</v>
      </c>
      <c r="N37" s="32">
        <v>1606.67</v>
      </c>
      <c r="O37" s="32">
        <v>1848.22</v>
      </c>
      <c r="P37" s="32">
        <v>2042.87</v>
      </c>
      <c r="Q37" s="32">
        <v>1604.14</v>
      </c>
      <c r="R37" s="32">
        <v>2163.85</v>
      </c>
      <c r="S37" s="32">
        <v>1650.01</v>
      </c>
      <c r="U37" s="32">
        <v>1985.71</v>
      </c>
      <c r="V37" s="32">
        <v>1667.39</v>
      </c>
      <c r="W37" s="32">
        <v>1657.67</v>
      </c>
      <c r="X37" s="32">
        <v>1662.25</v>
      </c>
      <c r="Y37" s="32">
        <v>2203.71</v>
      </c>
      <c r="Z37" s="32">
        <v>1675.86</v>
      </c>
      <c r="AA37" s="71">
        <v>1668.66</v>
      </c>
      <c r="AB37" s="32">
        <v>718.76</v>
      </c>
      <c r="AC37" s="32">
        <v>718.76</v>
      </c>
      <c r="AD37" s="32">
        <v>718.76</v>
      </c>
      <c r="AE37" s="32"/>
      <c r="AF37" s="32"/>
    </row>
    <row r="38" spans="1:32" s="36" customFormat="1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s="36" customFormat="1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s="36" customFormat="1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36" customFormat="1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36" customFormat="1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36" customFormat="1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36" customFormat="1">
      <c r="A44" s="12" t="s">
        <v>19</v>
      </c>
      <c r="B44" s="29"/>
      <c r="C44" s="31">
        <f>C45*C30</f>
        <v>0</v>
      </c>
      <c r="D44" s="31">
        <f t="shared" ref="D44:F44" si="40">D45*D30</f>
        <v>0</v>
      </c>
      <c r="E44" s="31">
        <f t="shared" si="40"/>
        <v>0</v>
      </c>
      <c r="F44" s="31">
        <f t="shared" si="40"/>
        <v>363569.4</v>
      </c>
      <c r="G44" s="31"/>
      <c r="H44" s="31">
        <f t="shared" ref="H44:S44" si="41">H45*H30</f>
        <v>438984.36800000002</v>
      </c>
      <c r="I44" s="31">
        <f t="shared" si="41"/>
        <v>316592.26759999996</v>
      </c>
      <c r="J44" s="31">
        <f t="shared" si="41"/>
        <v>352485.49719999998</v>
      </c>
      <c r="K44" s="31">
        <f t="shared" si="41"/>
        <v>351317.65880000003</v>
      </c>
      <c r="L44" s="31">
        <f t="shared" si="41"/>
        <v>366658.07639999996</v>
      </c>
      <c r="M44" s="31">
        <f t="shared" si="41"/>
        <v>356121.75719999999</v>
      </c>
      <c r="N44" s="31">
        <f t="shared" si="41"/>
        <v>344031.462</v>
      </c>
      <c r="O44" s="31">
        <f t="shared" si="41"/>
        <v>307067.72879999998</v>
      </c>
      <c r="P44" s="31">
        <f t="shared" si="41"/>
        <v>283513.27630000003</v>
      </c>
      <c r="Q44" s="31">
        <f t="shared" si="41"/>
        <v>350606.87389999989</v>
      </c>
      <c r="R44" s="31">
        <f t="shared" si="41"/>
        <v>271305.87930000003</v>
      </c>
      <c r="S44" s="31">
        <f t="shared" si="41"/>
        <v>363834.86329999985</v>
      </c>
      <c r="T44" s="31"/>
      <c r="U44" s="31">
        <f t="shared" ref="U44:AF44" si="42">U45*U30</f>
        <v>314253.06479999993</v>
      </c>
      <c r="V44" s="31">
        <f t="shared" si="42"/>
        <v>367674.04799999989</v>
      </c>
      <c r="W44" s="31">
        <f t="shared" si="42"/>
        <v>382839.87599999993</v>
      </c>
      <c r="X44" s="31">
        <f t="shared" si="42"/>
        <v>386885.49780000007</v>
      </c>
      <c r="Y44" s="31">
        <f t="shared" si="42"/>
        <v>302658.66080000007</v>
      </c>
      <c r="Z44" s="31">
        <f t="shared" si="42"/>
        <v>372107.66580000002</v>
      </c>
      <c r="AA44" s="31">
        <f t="shared" si="42"/>
        <v>378311.35429999995</v>
      </c>
      <c r="AB44" s="31">
        <f t="shared" si="42"/>
        <v>538912.31239999994</v>
      </c>
      <c r="AC44" s="31">
        <f t="shared" si="42"/>
        <v>-115281.91639999999</v>
      </c>
      <c r="AD44" s="31">
        <f t="shared" si="42"/>
        <v>0</v>
      </c>
      <c r="AE44" s="31">
        <f t="shared" si="42"/>
        <v>0</v>
      </c>
      <c r="AF44" s="31">
        <f t="shared" si="42"/>
        <v>0</v>
      </c>
    </row>
    <row r="45" spans="1:32" s="36" customFormat="1">
      <c r="A45" s="12" t="s">
        <v>20</v>
      </c>
      <c r="B45" s="29"/>
      <c r="C45" s="33">
        <f>SUM(C31-C36-C37)</f>
        <v>0</v>
      </c>
      <c r="D45" s="33">
        <f t="shared" ref="D45:F45" si="43">SUM(D31-D36-D37)</f>
        <v>0</v>
      </c>
      <c r="E45" s="33">
        <f t="shared" si="43"/>
        <v>0</v>
      </c>
      <c r="F45" s="33">
        <f t="shared" si="43"/>
        <v>2385</v>
      </c>
      <c r="G45" s="33"/>
      <c r="H45" s="33">
        <f t="shared" ref="H45:S45" si="44">SUM(H31-H36-H37)</f>
        <v>3031.66</v>
      </c>
      <c r="I45" s="33">
        <f t="shared" si="44"/>
        <v>2218.12</v>
      </c>
      <c r="J45" s="33">
        <f t="shared" si="44"/>
        <v>2294.23</v>
      </c>
      <c r="K45" s="33">
        <f t="shared" si="44"/>
        <v>2330.62</v>
      </c>
      <c r="L45" s="33">
        <f t="shared" si="44"/>
        <v>2317.9799999999996</v>
      </c>
      <c r="M45" s="33">
        <f t="shared" si="44"/>
        <v>2306.04</v>
      </c>
      <c r="N45" s="33">
        <f t="shared" si="44"/>
        <v>2298.6000000000004</v>
      </c>
      <c r="O45" s="33">
        <f t="shared" si="44"/>
        <v>2053.6899999999996</v>
      </c>
      <c r="P45" s="33">
        <f t="shared" si="44"/>
        <v>1988.5900000000001</v>
      </c>
      <c r="Q45" s="33">
        <f t="shared" si="44"/>
        <v>2436.9699999999993</v>
      </c>
      <c r="R45" s="33">
        <f t="shared" si="44"/>
        <v>1873.5300000000002</v>
      </c>
      <c r="S45" s="33">
        <f t="shared" si="44"/>
        <v>2435.4699999999993</v>
      </c>
      <c r="T45" s="33"/>
      <c r="U45" s="33">
        <f t="shared" ref="U45:AF45" si="45">SUM(U31-U36-U37)</f>
        <v>2138.9399999999996</v>
      </c>
      <c r="V45" s="33">
        <f t="shared" si="45"/>
        <v>2469.5999999999995</v>
      </c>
      <c r="W45" s="33">
        <f t="shared" si="45"/>
        <v>2484.3599999999997</v>
      </c>
      <c r="X45" s="33">
        <f t="shared" si="45"/>
        <v>2470.0600000000004</v>
      </c>
      <c r="Y45" s="33">
        <f t="shared" si="45"/>
        <v>1933.1800000000003</v>
      </c>
      <c r="Z45" s="33">
        <f t="shared" si="45"/>
        <v>2421.63</v>
      </c>
      <c r="AA45" s="33">
        <f t="shared" si="45"/>
        <v>2428.0299999999997</v>
      </c>
      <c r="AB45" s="33">
        <f t="shared" si="45"/>
        <v>3370.7299999999996</v>
      </c>
      <c r="AC45" s="33">
        <f t="shared" si="45"/>
        <v>-718.76</v>
      </c>
      <c r="AD45" s="33">
        <f t="shared" si="45"/>
        <v>-718.76</v>
      </c>
      <c r="AE45" s="33">
        <f t="shared" si="45"/>
        <v>0</v>
      </c>
      <c r="AF45" s="33">
        <f t="shared" si="45"/>
        <v>0</v>
      </c>
    </row>
    <row r="46" spans="1:32" s="36" customFormat="1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s="36" customFormat="1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3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23" s="36" customFormat="1">
      <c r="A50" s="35"/>
      <c r="B50" s="35"/>
      <c r="C50" s="35"/>
      <c r="D50" s="35"/>
      <c r="E50" s="35"/>
      <c r="F50" s="35"/>
      <c r="R50" s="56">
        <v>8625.1299999999992</v>
      </c>
      <c r="S50" s="56"/>
    </row>
    <row r="51" spans="1:23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51">
        <v>718.77</v>
      </c>
      <c r="S51" s="51"/>
      <c r="T51" s="2"/>
      <c r="U51" s="2"/>
      <c r="V51" s="2"/>
    </row>
    <row r="52" spans="1:23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51">
        <v>718.76</v>
      </c>
      <c r="S52" s="51"/>
    </row>
    <row r="53" spans="1:23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51">
        <v>718.76</v>
      </c>
      <c r="S53" s="51"/>
    </row>
    <row r="54" spans="1:23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51">
        <v>718.76</v>
      </c>
      <c r="S54" s="51"/>
    </row>
    <row r="55" spans="1:23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51">
        <v>718.76</v>
      </c>
      <c r="S55" s="51"/>
    </row>
    <row r="56" spans="1:23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1">
        <v>718.76</v>
      </c>
      <c r="S56" s="55"/>
    </row>
    <row r="57" spans="1:23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1">
        <v>718.76</v>
      </c>
      <c r="S57" s="55"/>
    </row>
    <row r="58" spans="1:23" s="36" customFormat="1">
      <c r="A58" s="35"/>
      <c r="B58" s="35"/>
      <c r="C58" s="35"/>
      <c r="D58" s="35"/>
      <c r="E58" s="35"/>
      <c r="F58" s="35"/>
      <c r="R58" s="51">
        <v>718.76</v>
      </c>
      <c r="S58" s="56"/>
    </row>
    <row r="59" spans="1:23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51">
        <v>718.76</v>
      </c>
      <c r="S59" s="51"/>
      <c r="T59" s="2"/>
      <c r="U59" s="2"/>
      <c r="V59" s="2"/>
      <c r="W59" s="2"/>
    </row>
    <row r="60" spans="1:23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51">
        <v>718.76</v>
      </c>
      <c r="S60" s="51"/>
    </row>
    <row r="61" spans="1:23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1">
        <v>718.76</v>
      </c>
      <c r="S61" s="51"/>
    </row>
    <row r="62" spans="1:23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1">
        <v>718.76</v>
      </c>
      <c r="S62" s="51"/>
    </row>
    <row r="63" spans="1:23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51">
        <f>SUM(R51:R62)</f>
        <v>8625.130000000001</v>
      </c>
      <c r="S63" s="51"/>
    </row>
    <row r="64" spans="1:23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5"/>
      <c r="S64" s="55"/>
    </row>
    <row r="65" spans="1:25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5"/>
      <c r="S65" s="55"/>
    </row>
    <row r="66" spans="1:25" s="36" customFormat="1">
      <c r="A66" s="35"/>
      <c r="B66" s="35"/>
      <c r="C66" s="35"/>
      <c r="D66" s="35"/>
      <c r="E66" s="35"/>
      <c r="F66" s="35"/>
      <c r="R66" s="56"/>
      <c r="S66" s="56"/>
    </row>
    <row r="67" spans="1:25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25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25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2"/>
      <c r="S70" s="2"/>
    </row>
    <row r="71" spans="1:25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25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25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25" s="36" customFormat="1">
      <c r="A74" s="35"/>
      <c r="B74" s="35"/>
      <c r="C74" s="35"/>
      <c r="D74" s="35"/>
      <c r="E74" s="35"/>
      <c r="F74" s="35"/>
    </row>
    <row r="75" spans="1:25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25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25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5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5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6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26" s="36" customFormat="1">
      <c r="A82" s="35"/>
    </row>
    <row r="83" spans="1:26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6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26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26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26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6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6" s="36" customFormat="1">
      <c r="A90" s="35"/>
    </row>
    <row r="91" spans="1:26" s="36" customFormat="1">
      <c r="A91" s="35"/>
    </row>
    <row r="92" spans="1:26" s="36" customFormat="1">
      <c r="A92" s="35"/>
    </row>
    <row r="93" spans="1:26" s="36" customFormat="1">
      <c r="A93" s="35"/>
    </row>
    <row r="94" spans="1:26" s="36" customFormat="1">
      <c r="A94" s="35"/>
    </row>
    <row r="95" spans="1:26" s="36" customFormat="1">
      <c r="A95" s="35"/>
    </row>
    <row r="96" spans="1:26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F55F-3D24-449F-8B03-F3CA220C4E8A}">
  <dimension ref="A1:AH106"/>
  <sheetViews>
    <sheetView zoomScale="90" zoomScaleNormal="90" workbookViewId="0">
      <pane xSplit="1" ySplit="1" topLeftCell="P2" activePane="bottomRight" state="frozen"/>
      <selection pane="bottomRight" activeCell="AB11" sqref="AB11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0.375" bestFit="1" customWidth="1"/>
    <col min="23" max="25" width="11.25" bestFit="1" customWidth="1"/>
    <col min="26" max="32" width="10.375" bestFit="1" customWidth="1"/>
    <col min="33" max="33" width="9.375" bestFit="1" customWidth="1"/>
  </cols>
  <sheetData>
    <row r="1" spans="1:34">
      <c r="A1" s="23" t="s">
        <v>36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135000000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900000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B5*B6</f>
        <v>697500</v>
      </c>
      <c r="C4" s="24"/>
      <c r="D4" s="24"/>
      <c r="E4" s="24"/>
      <c r="F4" s="24"/>
      <c r="G4" s="24"/>
      <c r="H4" s="24"/>
      <c r="I4" s="24"/>
      <c r="J4" s="24">
        <f t="shared" ref="J4:V4" si="0">J5*J6</f>
        <v>4609.2</v>
      </c>
      <c r="K4" s="24">
        <f t="shared" si="0"/>
        <v>478733.65860000002</v>
      </c>
      <c r="L4" s="24">
        <f t="shared" si="0"/>
        <v>738431.69400000002</v>
      </c>
      <c r="M4" s="24">
        <f t="shared" si="0"/>
        <v>725445.73509999993</v>
      </c>
      <c r="N4" s="24">
        <f t="shared" si="0"/>
        <v>703085.30189999985</v>
      </c>
      <c r="O4" s="24">
        <f t="shared" si="0"/>
        <v>702380.66639999999</v>
      </c>
      <c r="P4" s="24">
        <f t="shared" si="0"/>
        <v>669732.55489999987</v>
      </c>
      <c r="Q4" s="24">
        <f t="shared" si="0"/>
        <v>675839.3959</v>
      </c>
      <c r="R4" s="24">
        <f t="shared" si="0"/>
        <v>680255.11170000001</v>
      </c>
      <c r="S4" s="24">
        <f t="shared" si="0"/>
        <v>701769.98229999992</v>
      </c>
      <c r="T4" s="24"/>
      <c r="U4" s="24">
        <f t="shared" si="0"/>
        <v>690166.98439999984</v>
      </c>
      <c r="V4" s="24">
        <f t="shared" si="0"/>
        <v>699374.22159999993</v>
      </c>
      <c r="W4" s="24">
        <f t="shared" ref="W4:AF4" si="1">W5*W6</f>
        <v>723895.53699999989</v>
      </c>
      <c r="X4" s="24">
        <f t="shared" si="1"/>
        <v>728329.5</v>
      </c>
      <c r="Y4" s="24">
        <f t="shared" si="1"/>
        <v>743279.55920000002</v>
      </c>
      <c r="Z4" s="24">
        <f t="shared" si="1"/>
        <v>729511.60619999992</v>
      </c>
      <c r="AA4" s="24">
        <f t="shared" si="1"/>
        <v>739718.88169999991</v>
      </c>
      <c r="AB4" s="24">
        <f t="shared" si="1"/>
        <v>759041.49159999995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4650</v>
      </c>
      <c r="C6" s="26">
        <v>0</v>
      </c>
      <c r="D6" s="26">
        <v>0</v>
      </c>
      <c r="E6" s="26">
        <v>0</v>
      </c>
      <c r="F6" s="26">
        <v>0</v>
      </c>
      <c r="G6" s="24"/>
      <c r="H6" s="26">
        <v>0</v>
      </c>
      <c r="I6" s="26">
        <v>0</v>
      </c>
      <c r="J6" s="26">
        <v>30</v>
      </c>
      <c r="K6" s="26">
        <v>3175.89</v>
      </c>
      <c r="L6" s="26">
        <v>4668.3</v>
      </c>
      <c r="M6" s="26">
        <v>4697.57</v>
      </c>
      <c r="N6" s="26">
        <v>4697.57</v>
      </c>
      <c r="O6" s="26">
        <v>4697.57</v>
      </c>
      <c r="P6" s="26">
        <v>4697.57</v>
      </c>
      <c r="Q6" s="26">
        <v>4697.57</v>
      </c>
      <c r="R6" s="26">
        <v>4697.57</v>
      </c>
      <c r="S6" s="26">
        <v>4697.57</v>
      </c>
      <c r="T6" s="24"/>
      <c r="U6" s="26">
        <v>4697.57</v>
      </c>
      <c r="V6" s="26">
        <v>4697.57</v>
      </c>
      <c r="W6" s="26">
        <v>4697.57</v>
      </c>
      <c r="X6" s="26">
        <v>4650</v>
      </c>
      <c r="Y6" s="26">
        <v>4747.57</v>
      </c>
      <c r="Z6" s="26">
        <v>4747.57</v>
      </c>
      <c r="AA6" s="26">
        <v>4747.57</v>
      </c>
      <c r="AB6" s="26">
        <v>4747.57</v>
      </c>
      <c r="AC6" s="26"/>
      <c r="AD6" s="26"/>
      <c r="AE6" s="26"/>
      <c r="AF6" s="26"/>
    </row>
    <row r="7" spans="1:34">
      <c r="A7" s="12" t="s">
        <v>7</v>
      </c>
      <c r="B7" s="24">
        <v>104765846</v>
      </c>
      <c r="C7" s="24"/>
      <c r="D7" s="24"/>
      <c r="E7" s="24"/>
      <c r="F7" s="24"/>
      <c r="G7" s="25"/>
      <c r="H7" s="25"/>
      <c r="I7" s="25">
        <v>977814</v>
      </c>
      <c r="J7" s="25">
        <v>977814</v>
      </c>
      <c r="K7" s="25">
        <v>977814</v>
      </c>
      <c r="L7" s="25">
        <v>977814</v>
      </c>
      <c r="M7" s="25">
        <v>977816</v>
      </c>
      <c r="N7" s="25">
        <v>977814</v>
      </c>
      <c r="O7" s="25">
        <v>977814</v>
      </c>
      <c r="P7" s="25">
        <v>977814</v>
      </c>
      <c r="Q7" s="25">
        <v>977814</v>
      </c>
      <c r="R7" s="25">
        <v>977814</v>
      </c>
      <c r="S7" s="25">
        <v>977817</v>
      </c>
      <c r="T7" s="25"/>
      <c r="U7" s="25">
        <v>977814</v>
      </c>
      <c r="V7" s="25">
        <v>977814</v>
      </c>
      <c r="W7" s="25">
        <v>977814</v>
      </c>
      <c r="X7" s="25">
        <v>977814</v>
      </c>
      <c r="Y7" s="25">
        <v>977814</v>
      </c>
      <c r="Z7" s="25">
        <v>977817</v>
      </c>
      <c r="AA7" s="25">
        <v>977814</v>
      </c>
      <c r="AB7" s="25">
        <v>977814</v>
      </c>
      <c r="AC7" s="25">
        <v>977814</v>
      </c>
      <c r="AD7" s="25">
        <v>977814</v>
      </c>
      <c r="AE7" s="25">
        <v>977814</v>
      </c>
      <c r="AF7" s="25">
        <v>977817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104765846</v>
      </c>
      <c r="C9" s="24"/>
      <c r="D9" s="24"/>
      <c r="E9" s="24"/>
      <c r="F9" s="24"/>
      <c r="G9" s="25"/>
      <c r="H9" s="25"/>
      <c r="I9" s="25">
        <f>SUM(B9-I7)</f>
        <v>103788032</v>
      </c>
      <c r="J9" s="25">
        <f>SUM(I9-J7)</f>
        <v>102810218</v>
      </c>
      <c r="K9" s="25">
        <f t="shared" ref="K9:S9" si="2">SUM(J9-K7)</f>
        <v>101832404</v>
      </c>
      <c r="L9" s="25">
        <f t="shared" si="2"/>
        <v>100854590</v>
      </c>
      <c r="M9" s="25">
        <f t="shared" si="2"/>
        <v>99876774</v>
      </c>
      <c r="N9" s="25">
        <f t="shared" si="2"/>
        <v>98898960</v>
      </c>
      <c r="O9" s="25">
        <f t="shared" si="2"/>
        <v>97921146</v>
      </c>
      <c r="P9" s="25">
        <f t="shared" si="2"/>
        <v>96943332</v>
      </c>
      <c r="Q9" s="25">
        <f t="shared" si="2"/>
        <v>95965518</v>
      </c>
      <c r="R9" s="25">
        <f t="shared" si="2"/>
        <v>94987704</v>
      </c>
      <c r="S9" s="25">
        <f t="shared" si="2"/>
        <v>94009887</v>
      </c>
      <c r="T9" s="25"/>
      <c r="U9" s="25">
        <f>SUM(S9-U7)</f>
        <v>93032073</v>
      </c>
      <c r="V9" s="25">
        <f>SUM(U9-V7)</f>
        <v>92054259</v>
      </c>
      <c r="W9" s="25">
        <f>SUM(V9-W7)</f>
        <v>91076445</v>
      </c>
      <c r="X9" s="25">
        <f t="shared" ref="X9" si="3">SUM(W9-X7)</f>
        <v>90098631</v>
      </c>
      <c r="Y9" s="25">
        <f t="shared" ref="Y9" si="4">SUM(X9-Y7)</f>
        <v>89120817</v>
      </c>
      <c r="Z9" s="25">
        <f t="shared" ref="Z9" si="5">SUM(Y9-Z7)</f>
        <v>88143000</v>
      </c>
      <c r="AA9" s="25">
        <f t="shared" ref="AA9" si="6">SUM(Z9-AA7)</f>
        <v>87165186</v>
      </c>
      <c r="AB9" s="25">
        <f t="shared" ref="AB9" si="7">SUM(AA9-AB7)</f>
        <v>86187372</v>
      </c>
      <c r="AC9" s="25">
        <f t="shared" ref="AC9" si="8">SUM(AB9-AC7)</f>
        <v>85209558</v>
      </c>
      <c r="AD9" s="25">
        <f t="shared" ref="AD9" si="9">SUM(AC9-AD7)</f>
        <v>84231744</v>
      </c>
      <c r="AE9" s="25">
        <f t="shared" ref="AE9" si="10">SUM(AD9-AE7)</f>
        <v>83253930</v>
      </c>
      <c r="AF9" s="25">
        <f t="shared" ref="AF9" si="11">SUM(AE9-AF7)</f>
        <v>82276113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4"/>
      <c r="C11" s="26"/>
      <c r="D11" s="26"/>
      <c r="E11" s="26"/>
      <c r="F11" s="26"/>
      <c r="G11" s="32"/>
      <c r="H11" s="32"/>
      <c r="I11" s="32"/>
      <c r="J11" s="32">
        <v>600</v>
      </c>
      <c r="K11" s="32">
        <v>5635.72</v>
      </c>
      <c r="L11" s="32">
        <v>368</v>
      </c>
      <c r="M11" s="32">
        <v>368</v>
      </c>
      <c r="N11" s="32">
        <v>368</v>
      </c>
      <c r="O11" s="32">
        <v>368</v>
      </c>
      <c r="P11" s="32">
        <v>368</v>
      </c>
      <c r="Q11" s="32">
        <v>368</v>
      </c>
      <c r="R11" s="32">
        <v>368</v>
      </c>
      <c r="S11" s="32">
        <v>322</v>
      </c>
      <c r="T11" s="32"/>
      <c r="U11" s="32">
        <v>322</v>
      </c>
      <c r="V11" s="32">
        <v>322</v>
      </c>
      <c r="W11" s="32">
        <v>322</v>
      </c>
      <c r="X11" s="32">
        <v>325.5</v>
      </c>
      <c r="Y11" s="32">
        <v>325.5</v>
      </c>
      <c r="Z11" s="32">
        <v>325.5</v>
      </c>
      <c r="AA11" s="32">
        <v>325.5</v>
      </c>
      <c r="AB11" s="32"/>
      <c r="AC11" s="32"/>
      <c r="AD11" s="32"/>
      <c r="AE11" s="32"/>
      <c r="AF11" s="32"/>
      <c r="AG11" s="64">
        <f>SUM(C36:AF36)</f>
        <v>11401.720000000001</v>
      </c>
      <c r="AH11" t="s">
        <v>26</v>
      </c>
    </row>
    <row r="12" spans="1:34">
      <c r="A12" s="12" t="s">
        <v>12</v>
      </c>
      <c r="B12" s="26">
        <v>36181.22</v>
      </c>
      <c r="C12" s="26"/>
      <c r="D12" s="26"/>
      <c r="E12" s="26"/>
      <c r="F12" s="26"/>
      <c r="G12" s="32"/>
      <c r="H12" s="32"/>
      <c r="I12" s="32">
        <v>168.33</v>
      </c>
      <c r="J12" s="32">
        <v>5219.87</v>
      </c>
      <c r="K12" s="32">
        <v>7424.99</v>
      </c>
      <c r="L12" s="32">
        <v>4360.76</v>
      </c>
      <c r="M12" s="32">
        <v>1163.02</v>
      </c>
      <c r="N12" s="32">
        <v>1163.02</v>
      </c>
      <c r="O12" s="32">
        <v>1009.97</v>
      </c>
      <c r="P12" s="32">
        <v>1009.97</v>
      </c>
      <c r="Q12" s="32">
        <v>1009.97</v>
      </c>
      <c r="R12" s="32">
        <v>14563.26</v>
      </c>
      <c r="S12" s="32">
        <v>1109.97</v>
      </c>
      <c r="T12" s="32"/>
      <c r="U12" s="32">
        <v>1760.3</v>
      </c>
      <c r="V12" s="32">
        <v>1009.97</v>
      </c>
      <c r="W12" s="32">
        <v>1009.97</v>
      </c>
      <c r="X12" s="32">
        <v>1474.97</v>
      </c>
      <c r="Y12" s="32">
        <v>912.4</v>
      </c>
      <c r="Z12" s="32">
        <v>1009.97</v>
      </c>
      <c r="AA12" s="32">
        <v>1009.97</v>
      </c>
      <c r="AB12" s="32"/>
      <c r="AC12" s="32"/>
      <c r="AD12" s="32"/>
      <c r="AE12" s="32"/>
      <c r="AF12" s="32"/>
      <c r="AG12" s="64">
        <v>9542.9500000000007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19121.71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9538.4699999999993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49604.850000000006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12">SUM(D5*D20)</f>
        <v>0</v>
      </c>
      <c r="E19" s="31">
        <f t="shared" si="12"/>
        <v>0</v>
      </c>
      <c r="F19" s="31">
        <f t="shared" si="12"/>
        <v>0</v>
      </c>
      <c r="G19" s="31"/>
      <c r="H19" s="31">
        <f t="shared" si="12"/>
        <v>0</v>
      </c>
      <c r="I19" s="31">
        <f t="shared" si="12"/>
        <v>-24025.740900000001</v>
      </c>
      <c r="J19" s="31">
        <f t="shared" si="12"/>
        <v>-889555.62679999985</v>
      </c>
      <c r="K19" s="31">
        <f t="shared" si="12"/>
        <v>-1490037.7668000001</v>
      </c>
      <c r="L19" s="31">
        <f t="shared" si="12"/>
        <v>-9563.562800000007</v>
      </c>
      <c r="M19" s="31">
        <f t="shared" si="12"/>
        <v>489010.31649999996</v>
      </c>
      <c r="N19" s="31">
        <f t="shared" si="12"/>
        <v>473937.53849999991</v>
      </c>
      <c r="O19" s="31">
        <f t="shared" si="12"/>
        <v>496346.59199999995</v>
      </c>
      <c r="P19" s="31">
        <f t="shared" si="12"/>
        <v>473275.37199999992</v>
      </c>
      <c r="Q19" s="31">
        <f t="shared" si="12"/>
        <v>477590.85199999996</v>
      </c>
      <c r="R19" s="31">
        <f t="shared" si="12"/>
        <v>-1481940.6489000001</v>
      </c>
      <c r="S19" s="31">
        <f t="shared" si="12"/>
        <v>487847.98399999988</v>
      </c>
      <c r="T19" s="31"/>
      <c r="U19" s="31">
        <f t="shared" ref="U19:AF19" si="13">SUM(U5*U20)</f>
        <v>384235.4683999999</v>
      </c>
      <c r="V19" s="31">
        <f t="shared" si="13"/>
        <v>501070.52799999987</v>
      </c>
      <c r="W19" s="31">
        <f t="shared" si="13"/>
        <v>518638.9599999999</v>
      </c>
      <c r="X19" s="31">
        <f t="shared" si="13"/>
        <v>446321.88389999996</v>
      </c>
      <c r="Y19" s="31">
        <f t="shared" si="13"/>
        <v>549473.93519999995</v>
      </c>
      <c r="Z19" s="31">
        <f t="shared" si="13"/>
        <v>524303.28599999985</v>
      </c>
      <c r="AA19" s="31">
        <f t="shared" si="13"/>
        <v>531639.30099999998</v>
      </c>
      <c r="AB19" s="31">
        <f t="shared" si="13"/>
        <v>759041.49159999995</v>
      </c>
      <c r="AC19" s="31">
        <f t="shared" si="13"/>
        <v>0</v>
      </c>
      <c r="AD19" s="31">
        <f t="shared" si="13"/>
        <v>0</v>
      </c>
      <c r="AE19" s="31">
        <f t="shared" si="13"/>
        <v>0</v>
      </c>
      <c r="AF19" s="31">
        <f t="shared" si="13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14">SUM(D6-D11-D12)</f>
        <v>0</v>
      </c>
      <c r="E20" s="33">
        <f t="shared" si="14"/>
        <v>0</v>
      </c>
      <c r="F20" s="33">
        <f t="shared" si="14"/>
        <v>0</v>
      </c>
      <c r="G20" s="33"/>
      <c r="H20" s="33">
        <f t="shared" si="14"/>
        <v>0</v>
      </c>
      <c r="I20" s="33">
        <f t="shared" si="14"/>
        <v>-168.33</v>
      </c>
      <c r="J20" s="33">
        <f t="shared" si="14"/>
        <v>-5789.87</v>
      </c>
      <c r="K20" s="33">
        <f t="shared" si="14"/>
        <v>-9884.82</v>
      </c>
      <c r="L20" s="33">
        <f t="shared" si="14"/>
        <v>-60.460000000000036</v>
      </c>
      <c r="M20" s="33">
        <f t="shared" si="14"/>
        <v>3166.5499999999997</v>
      </c>
      <c r="N20" s="33">
        <f t="shared" si="14"/>
        <v>3166.5499999999997</v>
      </c>
      <c r="O20" s="33">
        <f t="shared" si="14"/>
        <v>3319.5999999999995</v>
      </c>
      <c r="P20" s="33">
        <f t="shared" si="14"/>
        <v>3319.5999999999995</v>
      </c>
      <c r="Q20" s="33">
        <f t="shared" si="14"/>
        <v>3319.5999999999995</v>
      </c>
      <c r="R20" s="33">
        <f t="shared" si="14"/>
        <v>-10233.69</v>
      </c>
      <c r="S20" s="33">
        <f t="shared" si="14"/>
        <v>3265.5999999999995</v>
      </c>
      <c r="T20" s="33"/>
      <c r="U20" s="33">
        <f t="shared" ref="U20:AF20" si="15">SUM(U6-U11-U12)</f>
        <v>2615.2699999999995</v>
      </c>
      <c r="V20" s="33">
        <f t="shared" si="15"/>
        <v>3365.5999999999995</v>
      </c>
      <c r="W20" s="33">
        <f t="shared" si="15"/>
        <v>3365.5999999999995</v>
      </c>
      <c r="X20" s="33">
        <f t="shared" si="15"/>
        <v>2849.5299999999997</v>
      </c>
      <c r="Y20" s="33">
        <f t="shared" si="15"/>
        <v>3509.6699999999996</v>
      </c>
      <c r="Z20" s="33">
        <f t="shared" si="15"/>
        <v>3412.0999999999995</v>
      </c>
      <c r="AA20" s="33">
        <f t="shared" si="15"/>
        <v>3412.0999999999995</v>
      </c>
      <c r="AB20" s="33">
        <f t="shared" si="15"/>
        <v>4747.57</v>
      </c>
      <c r="AC20" s="33">
        <f t="shared" si="15"/>
        <v>0</v>
      </c>
      <c r="AD20" s="33">
        <f t="shared" si="15"/>
        <v>0</v>
      </c>
      <c r="AE20" s="33">
        <f t="shared" si="15"/>
        <v>0</v>
      </c>
      <c r="AF20" s="33">
        <f t="shared" si="15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s="36" customFormat="1">
      <c r="A23" s="35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32" s="36" customFormat="1">
      <c r="A24" s="35" t="s">
        <v>23</v>
      </c>
      <c r="B24" s="68">
        <v>45561</v>
      </c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38" t="s">
        <v>37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35" t="s">
        <v>38</v>
      </c>
      <c r="B27" s="24">
        <f>B28*150</f>
        <v>135000000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s="36" customFormat="1">
      <c r="A28" s="35" t="s">
        <v>39</v>
      </c>
      <c r="B28" s="24">
        <v>900000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s="36" customFormat="1">
      <c r="A29" s="35" t="s">
        <v>40</v>
      </c>
      <c r="B29" s="24">
        <f>B30*B31</f>
        <v>690000</v>
      </c>
      <c r="C29" s="24"/>
      <c r="D29" s="24"/>
      <c r="E29" s="24"/>
      <c r="F29" s="24"/>
      <c r="G29" s="24"/>
      <c r="H29" s="24"/>
      <c r="I29" s="24"/>
      <c r="J29" s="24">
        <f t="shared" ref="J29:S29" si="16">J30*J31</f>
        <v>4609.2</v>
      </c>
      <c r="K29" s="24">
        <f t="shared" si="16"/>
        <v>478733.65860000002</v>
      </c>
      <c r="L29" s="24">
        <f t="shared" si="16"/>
        <v>738431.69400000002</v>
      </c>
      <c r="M29" s="24">
        <f t="shared" si="16"/>
        <v>725445.73509999993</v>
      </c>
      <c r="N29" s="24">
        <f t="shared" si="16"/>
        <v>703085.30189999985</v>
      </c>
      <c r="O29" s="24">
        <f t="shared" si="16"/>
        <v>702380.66639999999</v>
      </c>
      <c r="P29" s="24">
        <f t="shared" si="16"/>
        <v>669732.55489999987</v>
      </c>
      <c r="Q29" s="24">
        <f t="shared" si="16"/>
        <v>675839.3959</v>
      </c>
      <c r="R29" s="24">
        <f t="shared" si="16"/>
        <v>680255.11170000001</v>
      </c>
      <c r="S29" s="24">
        <f t="shared" si="16"/>
        <v>701769.98229999992</v>
      </c>
      <c r="T29" s="24"/>
      <c r="U29" s="24">
        <f t="shared" ref="U29:AF29" si="17">U30*U31</f>
        <v>690166.98439999984</v>
      </c>
      <c r="V29" s="24">
        <f t="shared" si="17"/>
        <v>699374.22159999993</v>
      </c>
      <c r="W29" s="24">
        <f t="shared" si="17"/>
        <v>723895.53699999989</v>
      </c>
      <c r="X29" s="24">
        <f t="shared" si="17"/>
        <v>728329.5</v>
      </c>
      <c r="Y29" s="24">
        <f t="shared" si="17"/>
        <v>743279.55920000002</v>
      </c>
      <c r="Z29" s="24">
        <f t="shared" si="17"/>
        <v>729511.60619999992</v>
      </c>
      <c r="AA29" s="24">
        <f t="shared" si="17"/>
        <v>739718.88169999991</v>
      </c>
      <c r="AB29" s="24">
        <f t="shared" si="17"/>
        <v>0</v>
      </c>
      <c r="AC29" s="24">
        <f t="shared" si="17"/>
        <v>0</v>
      </c>
      <c r="AD29" s="24">
        <f t="shared" si="17"/>
        <v>0</v>
      </c>
      <c r="AE29" s="24">
        <f t="shared" si="17"/>
        <v>0</v>
      </c>
      <c r="AF29" s="24">
        <f t="shared" si="17"/>
        <v>0</v>
      </c>
    </row>
    <row r="30" spans="1:32" s="36" customFormat="1">
      <c r="A30" s="35" t="s">
        <v>41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36" customFormat="1">
      <c r="A31" s="35" t="s">
        <v>42</v>
      </c>
      <c r="B31" s="26">
        <v>4600</v>
      </c>
      <c r="C31" s="26">
        <v>0</v>
      </c>
      <c r="D31" s="26">
        <v>0</v>
      </c>
      <c r="E31" s="26">
        <v>0</v>
      </c>
      <c r="F31" s="26">
        <v>0</v>
      </c>
      <c r="G31" s="24"/>
      <c r="H31" s="26">
        <v>0</v>
      </c>
      <c r="I31" s="26">
        <v>0</v>
      </c>
      <c r="J31" s="26">
        <v>30</v>
      </c>
      <c r="K31" s="26">
        <v>3175.89</v>
      </c>
      <c r="L31" s="26">
        <v>4668.3</v>
      </c>
      <c r="M31" s="26">
        <v>4697.57</v>
      </c>
      <c r="N31" s="26">
        <v>4697.57</v>
      </c>
      <c r="O31" s="26">
        <v>4697.57</v>
      </c>
      <c r="P31" s="26">
        <v>4697.57</v>
      </c>
      <c r="Q31" s="26">
        <v>4697.57</v>
      </c>
      <c r="R31" s="26">
        <v>4697.57</v>
      </c>
      <c r="S31" s="26">
        <v>4697.57</v>
      </c>
      <c r="T31" s="24"/>
      <c r="U31" s="26">
        <v>4697.57</v>
      </c>
      <c r="V31" s="26">
        <v>4697.57</v>
      </c>
      <c r="W31" s="26">
        <v>4697.57</v>
      </c>
      <c r="X31" s="26">
        <v>4650</v>
      </c>
      <c r="Y31" s="26">
        <v>4747.57</v>
      </c>
      <c r="Z31" s="26">
        <v>4747.57</v>
      </c>
      <c r="AA31" s="26">
        <v>4747.57</v>
      </c>
      <c r="AB31" s="26"/>
      <c r="AC31" s="26"/>
      <c r="AD31" s="26"/>
      <c r="AE31" s="26"/>
      <c r="AF31" s="26"/>
    </row>
    <row r="32" spans="1:32" s="36" customFormat="1">
      <c r="A32" s="35" t="s">
        <v>43</v>
      </c>
      <c r="B32" s="24">
        <v>104765846</v>
      </c>
      <c r="C32" s="24"/>
      <c r="D32" s="24"/>
      <c r="E32" s="24"/>
      <c r="F32" s="24"/>
      <c r="G32" s="25"/>
      <c r="H32" s="25"/>
      <c r="I32" s="25">
        <v>977814</v>
      </c>
      <c r="J32" s="25">
        <v>977814</v>
      </c>
      <c r="K32" s="25">
        <v>977814</v>
      </c>
      <c r="L32" s="25">
        <v>977814</v>
      </c>
      <c r="M32" s="25">
        <v>977816</v>
      </c>
      <c r="N32" s="25">
        <v>977814</v>
      </c>
      <c r="O32" s="25">
        <v>977814</v>
      </c>
      <c r="P32" s="25">
        <v>977814</v>
      </c>
      <c r="Q32" s="25">
        <v>977814</v>
      </c>
      <c r="R32" s="25">
        <v>977814</v>
      </c>
      <c r="S32" s="25">
        <v>977817</v>
      </c>
      <c r="T32" s="25"/>
      <c r="U32" s="25">
        <v>977814</v>
      </c>
      <c r="V32" s="25">
        <v>977814</v>
      </c>
      <c r="W32" s="25">
        <v>977814</v>
      </c>
      <c r="X32" s="25">
        <v>977814</v>
      </c>
      <c r="Y32" s="25">
        <v>977814</v>
      </c>
      <c r="Z32" s="25">
        <v>977817</v>
      </c>
      <c r="AA32" s="25">
        <v>977814</v>
      </c>
      <c r="AB32" s="25">
        <v>977814</v>
      </c>
      <c r="AC32" s="25">
        <v>977814</v>
      </c>
      <c r="AD32" s="25">
        <v>977814</v>
      </c>
      <c r="AE32" s="25">
        <v>977814</v>
      </c>
      <c r="AF32" s="25">
        <v>977817</v>
      </c>
    </row>
    <row r="33" spans="1:32" s="36" customFormat="1">
      <c r="A33" s="35" t="s">
        <v>44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s="36" customFormat="1">
      <c r="A34" s="12" t="s">
        <v>9</v>
      </c>
      <c r="B34" s="24">
        <v>104765846</v>
      </c>
      <c r="C34" s="24"/>
      <c r="D34" s="24"/>
      <c r="E34" s="24"/>
      <c r="F34" s="24"/>
      <c r="G34" s="25"/>
      <c r="H34" s="25"/>
      <c r="I34" s="25">
        <f>SUM(B34-I32)</f>
        <v>103788032</v>
      </c>
      <c r="J34" s="25">
        <f>SUM(I34-J32)</f>
        <v>102810218</v>
      </c>
      <c r="K34" s="25">
        <f t="shared" ref="K34" si="18">SUM(J34-K32)</f>
        <v>101832404</v>
      </c>
      <c r="L34" s="25">
        <f t="shared" ref="L34" si="19">SUM(K34-L32)</f>
        <v>100854590</v>
      </c>
      <c r="M34" s="25">
        <f t="shared" ref="M34" si="20">SUM(L34-M32)</f>
        <v>99876774</v>
      </c>
      <c r="N34" s="25">
        <f t="shared" ref="N34" si="21">SUM(M34-N32)</f>
        <v>98898960</v>
      </c>
      <c r="O34" s="25">
        <f t="shared" ref="O34" si="22">SUM(N34-O32)</f>
        <v>97921146</v>
      </c>
      <c r="P34" s="25">
        <f t="shared" ref="P34" si="23">SUM(O34-P32)</f>
        <v>96943332</v>
      </c>
      <c r="Q34" s="25">
        <f t="shared" ref="Q34" si="24">SUM(P34-Q32)</f>
        <v>95965518</v>
      </c>
      <c r="R34" s="25">
        <f t="shared" ref="R34" si="25">SUM(Q34-R32)</f>
        <v>94987704</v>
      </c>
      <c r="S34" s="25">
        <f t="shared" ref="S34" si="26">SUM(R34-S32)</f>
        <v>94009887</v>
      </c>
      <c r="T34" s="25"/>
      <c r="U34" s="25">
        <f>SUM(S34-U32)</f>
        <v>93032073</v>
      </c>
      <c r="V34" s="25">
        <f>SUM(U34-V32)</f>
        <v>92054259</v>
      </c>
      <c r="W34" s="25">
        <f>SUM(V34-W32)</f>
        <v>91076445</v>
      </c>
      <c r="X34" s="25">
        <f t="shared" ref="X34" si="27">SUM(W34-X32)</f>
        <v>90098631</v>
      </c>
      <c r="Y34" s="25">
        <f t="shared" ref="Y34" si="28">SUM(X34-Y32)</f>
        <v>89120817</v>
      </c>
      <c r="Z34" s="25">
        <f t="shared" ref="Z34" si="29">SUM(Y34-Z32)</f>
        <v>88143000</v>
      </c>
      <c r="AA34" s="25">
        <f t="shared" ref="AA34" si="30">SUM(Z34-AA32)</f>
        <v>87165186</v>
      </c>
      <c r="AB34" s="25">
        <f t="shared" ref="AB34" si="31">SUM(AA34-AB32)</f>
        <v>86187372</v>
      </c>
      <c r="AC34" s="25">
        <f t="shared" ref="AC34" si="32">SUM(AB34-AC32)</f>
        <v>85209558</v>
      </c>
      <c r="AD34" s="25">
        <f t="shared" ref="AD34" si="33">SUM(AC34-AD32)</f>
        <v>84231744</v>
      </c>
      <c r="AE34" s="25">
        <f t="shared" ref="AE34" si="34">SUM(AD34-AE32)</f>
        <v>83253930</v>
      </c>
      <c r="AF34" s="25">
        <f t="shared" ref="AF34" si="35">SUM(AE34-AF32)</f>
        <v>82276113</v>
      </c>
    </row>
    <row r="35" spans="1:32" s="36" customFormat="1">
      <c r="A35" s="35" t="s">
        <v>45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s="36" customFormat="1">
      <c r="A36" s="35" t="s">
        <v>46</v>
      </c>
      <c r="B36" s="24"/>
      <c r="C36" s="26"/>
      <c r="D36" s="26"/>
      <c r="E36" s="26"/>
      <c r="F36" s="26"/>
      <c r="G36" s="32"/>
      <c r="H36" s="32"/>
      <c r="I36" s="32"/>
      <c r="J36" s="32">
        <v>600</v>
      </c>
      <c r="K36" s="32">
        <v>5635.72</v>
      </c>
      <c r="L36" s="32">
        <v>368</v>
      </c>
      <c r="M36" s="32">
        <v>368</v>
      </c>
      <c r="N36" s="32">
        <v>368</v>
      </c>
      <c r="O36" s="32">
        <v>368</v>
      </c>
      <c r="P36" s="32">
        <v>368</v>
      </c>
      <c r="Q36" s="32">
        <v>368</v>
      </c>
      <c r="R36" s="32">
        <v>368</v>
      </c>
      <c r="S36" s="32">
        <v>322</v>
      </c>
      <c r="T36" s="32"/>
      <c r="U36" s="32">
        <v>322</v>
      </c>
      <c r="V36" s="32">
        <v>322</v>
      </c>
      <c r="W36" s="32">
        <v>322</v>
      </c>
      <c r="X36" s="32">
        <v>325.5</v>
      </c>
      <c r="Y36" s="32">
        <v>325.5</v>
      </c>
      <c r="Z36" s="32">
        <v>325.5</v>
      </c>
      <c r="AA36" s="32">
        <v>325.5</v>
      </c>
      <c r="AB36" s="32"/>
      <c r="AC36" s="32"/>
      <c r="AD36" s="32"/>
      <c r="AE36" s="32"/>
      <c r="AF36" s="32"/>
    </row>
    <row r="37" spans="1:32" s="36" customFormat="1">
      <c r="A37" s="35" t="s">
        <v>47</v>
      </c>
      <c r="B37" s="26">
        <v>36181.22</v>
      </c>
      <c r="C37" s="26"/>
      <c r="D37" s="26"/>
      <c r="E37" s="26"/>
      <c r="F37" s="26"/>
      <c r="G37" s="32"/>
      <c r="H37" s="32"/>
      <c r="I37" s="32">
        <v>168.33</v>
      </c>
      <c r="J37" s="32">
        <v>3359.97</v>
      </c>
      <c r="K37" s="32">
        <v>8354.94</v>
      </c>
      <c r="L37" s="32">
        <v>2512.14</v>
      </c>
      <c r="M37" s="32">
        <v>2089.21</v>
      </c>
      <c r="N37" s="32">
        <v>2089.21</v>
      </c>
      <c r="O37" s="32">
        <v>1936.16</v>
      </c>
      <c r="P37" s="32">
        <v>1009.97</v>
      </c>
      <c r="Q37" s="32">
        <v>1009.97</v>
      </c>
      <c r="R37" s="32">
        <v>2139.42</v>
      </c>
      <c r="S37" s="32">
        <v>2239.41</v>
      </c>
      <c r="U37" s="32">
        <v>2889.74</v>
      </c>
      <c r="V37" s="32">
        <v>2139.41</v>
      </c>
      <c r="W37" s="32">
        <v>2139.41</v>
      </c>
      <c r="X37" s="32">
        <v>2604.41</v>
      </c>
      <c r="Y37" s="32">
        <v>2041.84</v>
      </c>
      <c r="Z37" s="32">
        <v>2139.41</v>
      </c>
      <c r="AA37" s="32">
        <v>2139.41</v>
      </c>
      <c r="AB37" s="32">
        <v>1129.44</v>
      </c>
      <c r="AC37" s="32">
        <v>1129.44</v>
      </c>
      <c r="AD37" s="32">
        <v>1129.44</v>
      </c>
      <c r="AE37" s="32"/>
      <c r="AF37" s="32"/>
    </row>
    <row r="38" spans="1:32" s="36" customFormat="1">
      <c r="A38" s="35" t="s">
        <v>48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s="36" customFormat="1">
      <c r="A39" s="35" t="s">
        <v>49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s="36" customFormat="1">
      <c r="A40" s="35" t="s">
        <v>50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36" customFormat="1">
      <c r="A41" s="35" t="s">
        <v>51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36" customFormat="1">
      <c r="A42" s="35" t="s">
        <v>52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36" customFormat="1">
      <c r="A43" s="35" t="s">
        <v>53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36" customFormat="1">
      <c r="A44" s="35" t="s">
        <v>54</v>
      </c>
      <c r="B44" s="29"/>
      <c r="C44" s="31">
        <f>SUM(C30*C45)</f>
        <v>0</v>
      </c>
      <c r="D44" s="31">
        <f t="shared" ref="D44:F44" si="36">SUM(D30*D45)</f>
        <v>0</v>
      </c>
      <c r="E44" s="31">
        <f t="shared" si="36"/>
        <v>0</v>
      </c>
      <c r="F44" s="31">
        <f t="shared" si="36"/>
        <v>0</v>
      </c>
      <c r="G44" s="31"/>
      <c r="H44" s="31">
        <f t="shared" ref="H44:S44" si="37">SUM(H30*H45)</f>
        <v>0</v>
      </c>
      <c r="I44" s="31">
        <f t="shared" si="37"/>
        <v>-24025.740900000001</v>
      </c>
      <c r="J44" s="31">
        <f t="shared" si="37"/>
        <v>-603800.59079999989</v>
      </c>
      <c r="K44" s="31">
        <f t="shared" si="37"/>
        <v>-1630218.4298000003</v>
      </c>
      <c r="L44" s="31">
        <f t="shared" si="37"/>
        <v>282851.14880000008</v>
      </c>
      <c r="M44" s="31">
        <f t="shared" si="37"/>
        <v>345978.79479999997</v>
      </c>
      <c r="N44" s="31">
        <f t="shared" si="37"/>
        <v>335314.68119999993</v>
      </c>
      <c r="O44" s="31">
        <f t="shared" si="37"/>
        <v>357862.66320000001</v>
      </c>
      <c r="P44" s="31">
        <f t="shared" si="37"/>
        <v>473275.37199999992</v>
      </c>
      <c r="Q44" s="31">
        <f t="shared" si="37"/>
        <v>477590.85199999996</v>
      </c>
      <c r="R44" s="31">
        <f t="shared" si="37"/>
        <v>317155.62149999995</v>
      </c>
      <c r="S44" s="31">
        <f t="shared" si="37"/>
        <v>319120.94239999994</v>
      </c>
      <c r="T44" s="31"/>
      <c r="U44" s="31">
        <f t="shared" ref="U44:AF44" si="38">SUM(U30*U45)</f>
        <v>218298.14359999998</v>
      </c>
      <c r="V44" s="31">
        <f t="shared" si="38"/>
        <v>332919.50079999998</v>
      </c>
      <c r="W44" s="31">
        <f t="shared" si="38"/>
        <v>344592.25599999999</v>
      </c>
      <c r="X44" s="31">
        <f t="shared" si="38"/>
        <v>269417.69670000003</v>
      </c>
      <c r="Y44" s="31">
        <f t="shared" si="38"/>
        <v>372648.80879999994</v>
      </c>
      <c r="Z44" s="31">
        <f t="shared" si="38"/>
        <v>350753.53559999994</v>
      </c>
      <c r="AA44" s="31">
        <f t="shared" si="38"/>
        <v>355661.25459999999</v>
      </c>
      <c r="AB44" s="31">
        <f t="shared" si="38"/>
        <v>-180574.86720000001</v>
      </c>
      <c r="AC44" s="31">
        <f t="shared" si="38"/>
        <v>-181150.88159999999</v>
      </c>
      <c r="AD44" s="31">
        <f t="shared" si="38"/>
        <v>0</v>
      </c>
      <c r="AE44" s="31">
        <f t="shared" si="38"/>
        <v>0</v>
      </c>
      <c r="AF44" s="31">
        <f t="shared" si="38"/>
        <v>0</v>
      </c>
    </row>
    <row r="45" spans="1:32" s="36" customFormat="1">
      <c r="A45" s="35" t="s">
        <v>55</v>
      </c>
      <c r="B45" s="29"/>
      <c r="C45" s="33">
        <f>SUM(C31-C36-C37)</f>
        <v>0</v>
      </c>
      <c r="D45" s="33">
        <f t="shared" ref="D45:F45" si="39">SUM(D31-D36-D37)</f>
        <v>0</v>
      </c>
      <c r="E45" s="33">
        <f t="shared" si="39"/>
        <v>0</v>
      </c>
      <c r="F45" s="33">
        <f t="shared" si="39"/>
        <v>0</v>
      </c>
      <c r="G45" s="33"/>
      <c r="H45" s="33">
        <f t="shared" ref="H45:S45" si="40">SUM(H31-H36-H37)</f>
        <v>0</v>
      </c>
      <c r="I45" s="33">
        <f t="shared" si="40"/>
        <v>-168.33</v>
      </c>
      <c r="J45" s="33">
        <f t="shared" si="40"/>
        <v>-3929.97</v>
      </c>
      <c r="K45" s="33">
        <f t="shared" si="40"/>
        <v>-10814.77</v>
      </c>
      <c r="L45" s="33">
        <f t="shared" si="40"/>
        <v>1788.1600000000003</v>
      </c>
      <c r="M45" s="33">
        <f t="shared" si="40"/>
        <v>2240.3599999999997</v>
      </c>
      <c r="N45" s="33">
        <f t="shared" si="40"/>
        <v>2240.3599999999997</v>
      </c>
      <c r="O45" s="33">
        <f t="shared" si="40"/>
        <v>2393.41</v>
      </c>
      <c r="P45" s="33">
        <f t="shared" si="40"/>
        <v>3319.5999999999995</v>
      </c>
      <c r="Q45" s="33">
        <f t="shared" si="40"/>
        <v>3319.5999999999995</v>
      </c>
      <c r="R45" s="33">
        <f t="shared" si="40"/>
        <v>2190.1499999999996</v>
      </c>
      <c r="S45" s="33">
        <f t="shared" si="40"/>
        <v>2136.16</v>
      </c>
      <c r="T45" s="33"/>
      <c r="U45" s="33">
        <f t="shared" ref="U45:AF45" si="41">SUM(U31-U36-U37)</f>
        <v>1485.83</v>
      </c>
      <c r="V45" s="33">
        <f t="shared" si="41"/>
        <v>2236.16</v>
      </c>
      <c r="W45" s="33">
        <f t="shared" si="41"/>
        <v>2236.16</v>
      </c>
      <c r="X45" s="33">
        <f t="shared" si="41"/>
        <v>1720.0900000000001</v>
      </c>
      <c r="Y45" s="33">
        <f t="shared" si="41"/>
        <v>2380.2299999999996</v>
      </c>
      <c r="Z45" s="33">
        <f t="shared" si="41"/>
        <v>2282.66</v>
      </c>
      <c r="AA45" s="33">
        <f t="shared" si="41"/>
        <v>2282.66</v>
      </c>
      <c r="AB45" s="33">
        <f t="shared" si="41"/>
        <v>-1129.44</v>
      </c>
      <c r="AC45" s="33">
        <f t="shared" si="41"/>
        <v>-1129.44</v>
      </c>
      <c r="AD45" s="33">
        <f t="shared" si="41"/>
        <v>-1129.44</v>
      </c>
      <c r="AE45" s="33">
        <f t="shared" si="41"/>
        <v>0</v>
      </c>
      <c r="AF45" s="33">
        <f t="shared" si="41"/>
        <v>0</v>
      </c>
    </row>
    <row r="46" spans="1:32" s="36" customFormat="1">
      <c r="A46" s="35" t="s">
        <v>56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s="36" customFormat="1">
      <c r="A47" s="35" t="s">
        <v>57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3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23" s="36" customFormat="1">
      <c r="A50" s="35"/>
      <c r="B50" s="35"/>
      <c r="C50" s="35"/>
      <c r="D50" s="35"/>
      <c r="E50" s="35"/>
      <c r="F50" s="35"/>
      <c r="R50" s="59">
        <v>13553.29</v>
      </c>
      <c r="S50" s="59"/>
    </row>
    <row r="51" spans="1:23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>
        <v>1</v>
      </c>
      <c r="R51" s="60">
        <v>1129.45</v>
      </c>
      <c r="S51" s="60"/>
      <c r="T51" s="2"/>
      <c r="U51" s="2"/>
      <c r="V51" s="2"/>
    </row>
    <row r="52" spans="1:23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>
        <v>2</v>
      </c>
      <c r="R52" s="60">
        <v>1129.44</v>
      </c>
      <c r="S52" s="60"/>
    </row>
    <row r="53" spans="1:23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3</v>
      </c>
      <c r="R53" s="60">
        <v>1129.44</v>
      </c>
      <c r="S53" s="60"/>
    </row>
    <row r="54" spans="1:23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2">
        <v>4</v>
      </c>
      <c r="R54" s="60">
        <v>1129.44</v>
      </c>
      <c r="S54" s="60"/>
    </row>
    <row r="55" spans="1:23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>
        <v>5</v>
      </c>
      <c r="R55" s="60">
        <v>1129.44</v>
      </c>
      <c r="S55" s="60"/>
    </row>
    <row r="56" spans="1:23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2">
        <v>6</v>
      </c>
      <c r="R56" s="60">
        <v>1129.44</v>
      </c>
      <c r="S56" s="61"/>
    </row>
    <row r="57" spans="1:23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2">
        <v>7</v>
      </c>
      <c r="R57" s="60">
        <v>1129.44</v>
      </c>
      <c r="S57" s="61"/>
    </row>
    <row r="58" spans="1:23" s="36" customFormat="1">
      <c r="A58" s="35"/>
      <c r="B58" s="35"/>
      <c r="C58" s="35"/>
      <c r="D58" s="35"/>
      <c r="E58" s="35"/>
      <c r="F58" s="35"/>
      <c r="Q58" s="2">
        <v>8</v>
      </c>
      <c r="R58" s="60">
        <v>1129.44</v>
      </c>
      <c r="S58" s="59"/>
    </row>
    <row r="59" spans="1:23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>
        <v>9</v>
      </c>
      <c r="R59" s="60">
        <v>1129.44</v>
      </c>
      <c r="S59" s="60"/>
      <c r="T59" s="2"/>
      <c r="U59" s="2"/>
      <c r="V59" s="2"/>
      <c r="W59" s="2"/>
    </row>
    <row r="60" spans="1:23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>
        <v>10</v>
      </c>
      <c r="R60" s="60">
        <v>1129.44</v>
      </c>
      <c r="S60" s="60"/>
    </row>
    <row r="61" spans="1:23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>
        <v>11</v>
      </c>
      <c r="R61" s="60">
        <v>1129.44</v>
      </c>
      <c r="S61" s="60"/>
    </row>
    <row r="62" spans="1:23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2">
        <v>12</v>
      </c>
      <c r="R62" s="60">
        <v>1129.44</v>
      </c>
      <c r="S62" s="60"/>
    </row>
    <row r="63" spans="1:23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0">
        <f>SUM(R51:R62)</f>
        <v>13553.290000000005</v>
      </c>
      <c r="S63" s="60"/>
    </row>
    <row r="64" spans="1:23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25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25" s="36" customFormat="1">
      <c r="A66" s="35"/>
      <c r="B66" s="35"/>
      <c r="C66" s="35"/>
      <c r="D66" s="35"/>
      <c r="E66" s="35"/>
      <c r="F66" s="35"/>
    </row>
    <row r="67" spans="1:25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25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25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25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25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25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25" s="36" customFormat="1">
      <c r="A74" s="35"/>
      <c r="B74" s="35"/>
      <c r="C74" s="35"/>
      <c r="D74" s="35"/>
      <c r="E74" s="35"/>
      <c r="F74" s="35"/>
    </row>
    <row r="75" spans="1:25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25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25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5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5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6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26" s="36" customFormat="1">
      <c r="A82" s="35"/>
    </row>
    <row r="83" spans="1:26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6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26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26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26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6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6" s="36" customFormat="1">
      <c r="A90" s="35"/>
    </row>
    <row r="91" spans="1:26" s="36" customFormat="1">
      <c r="A91" s="35"/>
    </row>
    <row r="92" spans="1:26" s="36" customFormat="1">
      <c r="A92" s="35"/>
    </row>
    <row r="93" spans="1:26" s="36" customFormat="1">
      <c r="A93" s="35"/>
    </row>
    <row r="94" spans="1:26" s="36" customFormat="1">
      <c r="A94" s="35"/>
    </row>
    <row r="95" spans="1:26" s="36" customFormat="1">
      <c r="A95" s="35"/>
    </row>
    <row r="96" spans="1:26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FC56-E981-4FF9-838A-135096D2E009}">
  <dimension ref="A1:AH63"/>
  <sheetViews>
    <sheetView zoomScale="90" zoomScaleNormal="90" workbookViewId="0">
      <pane xSplit="1" ySplit="1" topLeftCell="M20" activePane="bottomRight" state="frozen"/>
      <selection pane="bottomRight" activeCell="AD32" sqref="AD32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5.375" bestFit="1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0.375" bestFit="1" customWidth="1"/>
    <col min="23" max="25" width="11.25" bestFit="1" customWidth="1"/>
    <col min="26" max="32" width="10.375" bestFit="1" customWidth="1"/>
    <col min="33" max="33" width="9.375" bestFit="1" customWidth="1"/>
  </cols>
  <sheetData>
    <row r="1" spans="1:34">
      <c r="A1" s="23" t="s">
        <v>58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87750000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585000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B6*B5</f>
        <v>540000</v>
      </c>
      <c r="C4" s="24">
        <f t="shared" ref="C4:E4" si="0">C5*C6</f>
        <v>0</v>
      </c>
      <c r="D4" s="24">
        <f t="shared" si="0"/>
        <v>0</v>
      </c>
      <c r="E4" s="24">
        <f t="shared" si="0"/>
        <v>0</v>
      </c>
      <c r="F4" s="24">
        <f t="shared" ref="F4" si="1">F5*F6</f>
        <v>0</v>
      </c>
      <c r="G4" s="24"/>
      <c r="H4" s="24">
        <f t="shared" ref="H4:S4" si="2">H5*H6</f>
        <v>0</v>
      </c>
      <c r="I4" s="24">
        <f t="shared" si="2"/>
        <v>0</v>
      </c>
      <c r="J4" s="24">
        <f t="shared" si="2"/>
        <v>0</v>
      </c>
      <c r="K4" s="24">
        <f t="shared" si="2"/>
        <v>187917.00620000003</v>
      </c>
      <c r="L4" s="24">
        <f t="shared" si="2"/>
        <v>537812</v>
      </c>
      <c r="M4" s="24">
        <f t="shared" si="2"/>
        <v>525062</v>
      </c>
      <c r="N4" s="24">
        <f t="shared" si="2"/>
        <v>508877.99999999994</v>
      </c>
      <c r="O4" s="24">
        <f t="shared" si="2"/>
        <v>508368.00000000006</v>
      </c>
      <c r="P4" s="24">
        <f t="shared" si="2"/>
        <v>484738</v>
      </c>
      <c r="Q4" s="24">
        <f t="shared" si="2"/>
        <v>489158</v>
      </c>
      <c r="R4" s="24">
        <f t="shared" si="2"/>
        <v>437048.16479999997</v>
      </c>
      <c r="S4" s="24">
        <f t="shared" si="2"/>
        <v>2439.5386999999996</v>
      </c>
      <c r="T4" s="24"/>
      <c r="U4" s="24">
        <f t="shared" ref="U4:AF4" si="3">U5*U6</f>
        <v>6611.4</v>
      </c>
      <c r="V4" s="24">
        <f t="shared" si="3"/>
        <v>511003.80160000001</v>
      </c>
      <c r="W4" s="24">
        <f t="shared" si="3"/>
        <v>554760</v>
      </c>
      <c r="X4" s="24">
        <f t="shared" si="3"/>
        <v>563868</v>
      </c>
      <c r="Y4" s="24">
        <f t="shared" si="3"/>
        <v>563616</v>
      </c>
      <c r="Z4" s="24">
        <f t="shared" si="3"/>
        <v>553176</v>
      </c>
      <c r="AA4" s="24">
        <f t="shared" si="3"/>
        <v>636940.37329999998</v>
      </c>
      <c r="AB4" s="24">
        <f t="shared" si="3"/>
        <v>575568</v>
      </c>
      <c r="AC4" s="24">
        <f t="shared" si="3"/>
        <v>0</v>
      </c>
      <c r="AD4" s="24">
        <f t="shared" si="3"/>
        <v>0</v>
      </c>
      <c r="AE4" s="24">
        <f t="shared" si="3"/>
        <v>0</v>
      </c>
      <c r="AF4" s="24">
        <f t="shared" si="3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3600</v>
      </c>
      <c r="C6" s="26"/>
      <c r="D6" s="26"/>
      <c r="E6" s="26"/>
      <c r="F6" s="26"/>
      <c r="G6" s="26"/>
      <c r="H6" s="26"/>
      <c r="I6" s="26"/>
      <c r="J6" s="26"/>
      <c r="K6" s="26">
        <v>1246.6300000000001</v>
      </c>
      <c r="L6" s="26">
        <v>3400</v>
      </c>
      <c r="M6" s="26">
        <v>3400</v>
      </c>
      <c r="N6" s="26">
        <v>3400</v>
      </c>
      <c r="O6" s="26">
        <v>3400</v>
      </c>
      <c r="P6" s="26">
        <v>3400</v>
      </c>
      <c r="Q6" s="26">
        <v>3400</v>
      </c>
      <c r="R6" s="26">
        <v>3018.08</v>
      </c>
      <c r="S6" s="26">
        <v>16.329999999999998</v>
      </c>
      <c r="T6" s="26"/>
      <c r="U6" s="26">
        <v>45</v>
      </c>
      <c r="V6" s="26">
        <v>3432.32</v>
      </c>
      <c r="W6" s="26">
        <v>3600</v>
      </c>
      <c r="X6" s="26">
        <v>3600</v>
      </c>
      <c r="Y6" s="26">
        <v>3600</v>
      </c>
      <c r="Z6" s="26">
        <v>3600</v>
      </c>
      <c r="AA6" s="26">
        <v>4087.93</v>
      </c>
      <c r="AB6" s="26">
        <v>3600</v>
      </c>
      <c r="AC6" s="26"/>
      <c r="AD6" s="26"/>
      <c r="AE6" s="26"/>
      <c r="AF6" s="26"/>
    </row>
    <row r="7" spans="1:34">
      <c r="A7" s="12" t="s">
        <v>7</v>
      </c>
      <c r="B7" s="24">
        <v>70451659</v>
      </c>
      <c r="C7" s="24"/>
      <c r="D7" s="24"/>
      <c r="E7" s="24"/>
      <c r="F7" s="24"/>
      <c r="G7" s="25"/>
      <c r="H7" s="25">
        <v>0</v>
      </c>
      <c r="I7" s="25">
        <v>0</v>
      </c>
      <c r="J7" s="25">
        <v>0</v>
      </c>
      <c r="K7" s="25">
        <v>657548</v>
      </c>
      <c r="L7" s="25">
        <v>657548</v>
      </c>
      <c r="M7" s="25">
        <v>657551</v>
      </c>
      <c r="N7" s="25">
        <v>657548</v>
      </c>
      <c r="O7" s="25">
        <v>657548</v>
      </c>
      <c r="P7" s="25">
        <v>657548</v>
      </c>
      <c r="Q7" s="25">
        <v>657548</v>
      </c>
      <c r="R7" s="25">
        <v>657548</v>
      </c>
      <c r="S7" s="25">
        <v>657551</v>
      </c>
      <c r="T7" s="25"/>
      <c r="U7" s="25">
        <v>657548</v>
      </c>
      <c r="V7" s="25">
        <v>657548</v>
      </c>
      <c r="W7" s="25">
        <v>657548</v>
      </c>
      <c r="X7" s="25">
        <v>657548</v>
      </c>
      <c r="Y7" s="25">
        <v>657548</v>
      </c>
      <c r="Z7" s="25">
        <v>657552</v>
      </c>
      <c r="AA7" s="25">
        <v>657548</v>
      </c>
      <c r="AB7" s="25">
        <v>657548</v>
      </c>
      <c r="AC7" s="25">
        <v>657548</v>
      </c>
      <c r="AD7" s="25">
        <v>657548</v>
      </c>
      <c r="AE7" s="25">
        <v>657548</v>
      </c>
      <c r="AF7" s="25">
        <v>657553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70451659</v>
      </c>
      <c r="C9" s="24"/>
      <c r="D9" s="24"/>
      <c r="E9" s="24"/>
      <c r="F9" s="24"/>
      <c r="G9" s="25"/>
      <c r="H9" s="25"/>
      <c r="I9" s="25"/>
      <c r="J9" s="25"/>
      <c r="K9" s="25">
        <f>B9-K7</f>
        <v>69794111</v>
      </c>
      <c r="L9" s="25">
        <f t="shared" ref="L9:S9" si="4">K9-L7</f>
        <v>69136563</v>
      </c>
      <c r="M9" s="25">
        <f t="shared" si="4"/>
        <v>68479012</v>
      </c>
      <c r="N9" s="25">
        <f t="shared" si="4"/>
        <v>67821464</v>
      </c>
      <c r="O9" s="25">
        <f t="shared" si="4"/>
        <v>67163916</v>
      </c>
      <c r="P9" s="25">
        <f t="shared" si="4"/>
        <v>66506368</v>
      </c>
      <c r="Q9" s="25">
        <f t="shared" si="4"/>
        <v>65848820</v>
      </c>
      <c r="R9" s="25">
        <f t="shared" si="4"/>
        <v>65191272</v>
      </c>
      <c r="S9" s="25">
        <f t="shared" si="4"/>
        <v>64533721</v>
      </c>
      <c r="T9" s="25"/>
      <c r="U9" s="25">
        <f>S9-U7</f>
        <v>63876173</v>
      </c>
      <c r="V9" s="25">
        <f t="shared" ref="V9" si="5">U9-V7</f>
        <v>63218625</v>
      </c>
      <c r="W9" s="25">
        <f t="shared" ref="W9" si="6">V9-W7</f>
        <v>62561077</v>
      </c>
      <c r="X9" s="25">
        <f t="shared" ref="X9" si="7">W9-X7</f>
        <v>61903529</v>
      </c>
      <c r="Y9" s="25">
        <f t="shared" ref="Y9" si="8">X9-Y7</f>
        <v>61245981</v>
      </c>
      <c r="Z9" s="25">
        <f t="shared" ref="Z9" si="9">Y9-Z7</f>
        <v>60588429</v>
      </c>
      <c r="AA9" s="25">
        <f t="shared" ref="AA9" si="10">Z9-AA7</f>
        <v>59930881</v>
      </c>
      <c r="AB9" s="25">
        <f t="shared" ref="AB9" si="11">AA9-AB7</f>
        <v>59273333</v>
      </c>
      <c r="AC9" s="25">
        <f t="shared" ref="AC9" si="12">AB9-AC7</f>
        <v>58615785</v>
      </c>
      <c r="AD9" s="25">
        <f t="shared" ref="AD9" si="13">AC9-AD7</f>
        <v>57958237</v>
      </c>
      <c r="AE9" s="25">
        <f t="shared" ref="AE9" si="14">AD9-AE7</f>
        <v>57300689</v>
      </c>
      <c r="AF9" s="25">
        <f t="shared" ref="AF9" si="15">AE9-AF7</f>
        <v>56643136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4"/>
      <c r="C11" s="26"/>
      <c r="D11" s="26"/>
      <c r="E11" s="26"/>
      <c r="F11" s="26"/>
      <c r="G11" s="32"/>
      <c r="H11" s="32"/>
      <c r="I11" s="32"/>
      <c r="J11" s="32"/>
      <c r="K11" s="32">
        <v>500</v>
      </c>
      <c r="L11" s="32">
        <v>238</v>
      </c>
      <c r="M11" s="32">
        <v>238</v>
      </c>
      <c r="N11" s="32">
        <v>238</v>
      </c>
      <c r="O11" s="32">
        <v>238</v>
      </c>
      <c r="P11" s="32">
        <v>238</v>
      </c>
      <c r="Q11" s="32">
        <v>238</v>
      </c>
      <c r="R11" s="32">
        <v>238</v>
      </c>
      <c r="S11" s="32">
        <v>119</v>
      </c>
      <c r="T11" s="32"/>
      <c r="U11" s="32">
        <v>119</v>
      </c>
      <c r="V11" s="32">
        <v>252</v>
      </c>
      <c r="W11" s="32">
        <v>252</v>
      </c>
      <c r="X11" s="32">
        <v>252</v>
      </c>
      <c r="Y11" s="32">
        <v>252</v>
      </c>
      <c r="Z11" s="32">
        <v>252</v>
      </c>
      <c r="AA11" s="32">
        <v>252</v>
      </c>
      <c r="AB11" s="32">
        <v>252</v>
      </c>
      <c r="AC11" s="32"/>
      <c r="AD11" s="32"/>
      <c r="AE11" s="32"/>
      <c r="AF11" s="32"/>
      <c r="AG11" s="64">
        <f>SUM(C36:AF36)</f>
        <v>4168</v>
      </c>
      <c r="AH11" t="s">
        <v>26</v>
      </c>
    </row>
    <row r="12" spans="1:34">
      <c r="A12" s="12" t="s">
        <v>12</v>
      </c>
      <c r="B12" s="26">
        <v>27127.79</v>
      </c>
      <c r="C12" s="26"/>
      <c r="D12" s="26"/>
      <c r="E12" s="26"/>
      <c r="F12" s="26"/>
      <c r="G12" s="32"/>
      <c r="H12" s="32"/>
      <c r="I12" s="32"/>
      <c r="J12" s="32"/>
      <c r="K12" s="32">
        <v>348.82</v>
      </c>
      <c r="L12" s="32">
        <v>6640.02</v>
      </c>
      <c r="M12" s="32">
        <v>1170.99</v>
      </c>
      <c r="N12" s="32">
        <v>1170.99</v>
      </c>
      <c r="O12" s="32">
        <v>1016.89</v>
      </c>
      <c r="P12" s="32">
        <v>1016.89</v>
      </c>
      <c r="Q12" s="32">
        <v>1016.89</v>
      </c>
      <c r="R12" s="32">
        <v>14597.64</v>
      </c>
      <c r="S12" s="32">
        <v>1611.86</v>
      </c>
      <c r="T12" s="32"/>
      <c r="U12" s="32">
        <v>8986.86</v>
      </c>
      <c r="V12" s="32">
        <v>5263.48</v>
      </c>
      <c r="W12" s="32">
        <v>1553.89</v>
      </c>
      <c r="X12" s="32">
        <v>1016.89</v>
      </c>
      <c r="Y12" s="32">
        <v>1016.89</v>
      </c>
      <c r="Z12" s="32">
        <v>1016.89</v>
      </c>
      <c r="AA12" s="32">
        <v>1016.89</v>
      </c>
      <c r="AB12" s="32">
        <v>1104.57</v>
      </c>
      <c r="AC12" s="32"/>
      <c r="AD12" s="32"/>
      <c r="AE12" s="32"/>
      <c r="AF12" s="32"/>
      <c r="AG12" s="64">
        <v>7938.36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19049.78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5986.52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37142.660000000003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16">SUM(D5*D20)</f>
        <v>0</v>
      </c>
      <c r="E19" s="31">
        <f t="shared" si="16"/>
        <v>0</v>
      </c>
      <c r="F19" s="31">
        <f t="shared" si="16"/>
        <v>0</v>
      </c>
      <c r="G19" s="31"/>
      <c r="H19" s="31">
        <f t="shared" si="16"/>
        <v>0</v>
      </c>
      <c r="I19" s="31">
        <f t="shared" si="16"/>
        <v>0</v>
      </c>
      <c r="J19" s="31">
        <f t="shared" si="16"/>
        <v>0</v>
      </c>
      <c r="K19" s="31">
        <f t="shared" si="16"/>
        <v>59965.87940000002</v>
      </c>
      <c r="L19" s="31">
        <f t="shared" si="16"/>
        <v>-550153.20360000012</v>
      </c>
      <c r="M19" s="31">
        <f t="shared" si="16"/>
        <v>307471.67430000001</v>
      </c>
      <c r="N19" s="31">
        <f t="shared" si="16"/>
        <v>297994.46669999999</v>
      </c>
      <c r="O19" s="31">
        <f t="shared" si="16"/>
        <v>320736.84720000002</v>
      </c>
      <c r="P19" s="31">
        <f t="shared" si="16"/>
        <v>305828.33270000003</v>
      </c>
      <c r="Q19" s="31">
        <f t="shared" si="16"/>
        <v>308616.97570000001</v>
      </c>
      <c r="R19" s="31">
        <f t="shared" si="16"/>
        <v>-1711300.8636</v>
      </c>
      <c r="S19" s="31">
        <f t="shared" si="16"/>
        <v>-256133.63669999997</v>
      </c>
      <c r="T19" s="31"/>
      <c r="U19" s="31">
        <f t="shared" ref="U19:AF19" si="17">SUM(U5*U20)</f>
        <v>-1331221.5511999999</v>
      </c>
      <c r="V19" s="31">
        <f t="shared" si="17"/>
        <v>-310140.86079999991</v>
      </c>
      <c r="W19" s="31">
        <f t="shared" si="17"/>
        <v>276472.35099999997</v>
      </c>
      <c r="X19" s="31">
        <f t="shared" si="17"/>
        <v>365121.75930000003</v>
      </c>
      <c r="Y19" s="31">
        <f t="shared" si="17"/>
        <v>364958.58160000003</v>
      </c>
      <c r="Z19" s="31">
        <f t="shared" si="17"/>
        <v>358198.36259999999</v>
      </c>
      <c r="AA19" s="31">
        <f t="shared" si="17"/>
        <v>439234.62239999999</v>
      </c>
      <c r="AB19" s="31">
        <f t="shared" si="17"/>
        <v>358679.58840000001</v>
      </c>
      <c r="AC19" s="31">
        <f t="shared" si="17"/>
        <v>0</v>
      </c>
      <c r="AD19" s="31">
        <f t="shared" si="17"/>
        <v>0</v>
      </c>
      <c r="AE19" s="31">
        <f t="shared" si="17"/>
        <v>0</v>
      </c>
      <c r="AF19" s="31">
        <f t="shared" si="17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18">SUM(D6-D11-D12)</f>
        <v>0</v>
      </c>
      <c r="E20" s="33">
        <f t="shared" si="18"/>
        <v>0</v>
      </c>
      <c r="F20" s="33">
        <f t="shared" si="18"/>
        <v>0</v>
      </c>
      <c r="G20" s="33"/>
      <c r="H20" s="33">
        <f t="shared" si="18"/>
        <v>0</v>
      </c>
      <c r="I20" s="33">
        <f t="shared" si="18"/>
        <v>0</v>
      </c>
      <c r="J20" s="33">
        <f t="shared" si="18"/>
        <v>0</v>
      </c>
      <c r="K20" s="33">
        <f t="shared" si="18"/>
        <v>397.81000000000012</v>
      </c>
      <c r="L20" s="33">
        <f t="shared" si="18"/>
        <v>-3478.0200000000004</v>
      </c>
      <c r="M20" s="33">
        <f t="shared" si="18"/>
        <v>1991.01</v>
      </c>
      <c r="N20" s="33">
        <f t="shared" si="18"/>
        <v>1991.01</v>
      </c>
      <c r="O20" s="33">
        <f t="shared" si="18"/>
        <v>2145.11</v>
      </c>
      <c r="P20" s="33">
        <f t="shared" si="18"/>
        <v>2145.11</v>
      </c>
      <c r="Q20" s="33">
        <f t="shared" si="18"/>
        <v>2145.11</v>
      </c>
      <c r="R20" s="33">
        <f t="shared" si="18"/>
        <v>-11817.56</v>
      </c>
      <c r="S20" s="33">
        <f t="shared" si="18"/>
        <v>-1714.53</v>
      </c>
      <c r="T20" s="33"/>
      <c r="U20" s="33">
        <f t="shared" ref="U20:AF20" si="19">SUM(U6-U11-U12)</f>
        <v>-9060.86</v>
      </c>
      <c r="V20" s="33">
        <f t="shared" si="19"/>
        <v>-2083.1599999999994</v>
      </c>
      <c r="W20" s="33">
        <f t="shared" si="19"/>
        <v>1794.11</v>
      </c>
      <c r="X20" s="33">
        <f t="shared" si="19"/>
        <v>2331.11</v>
      </c>
      <c r="Y20" s="33">
        <f t="shared" si="19"/>
        <v>2331.11</v>
      </c>
      <c r="Z20" s="33">
        <f t="shared" si="19"/>
        <v>2331.11</v>
      </c>
      <c r="AA20" s="33">
        <f t="shared" si="19"/>
        <v>2819.04</v>
      </c>
      <c r="AB20" s="33">
        <f t="shared" si="19"/>
        <v>2243.4300000000003</v>
      </c>
      <c r="AC20" s="33">
        <f t="shared" si="19"/>
        <v>0</v>
      </c>
      <c r="AD20" s="33">
        <f t="shared" si="19"/>
        <v>0</v>
      </c>
      <c r="AE20" s="33">
        <f t="shared" si="19"/>
        <v>0</v>
      </c>
      <c r="AF20" s="33">
        <f t="shared" si="19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>
        <f>SUM(B22:R22)</f>
        <v>0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>
        <f>SUM(O22:AE22)</f>
        <v>0</v>
      </c>
    </row>
    <row r="23" spans="1:32" s="36" customFormat="1">
      <c r="A23" s="35"/>
    </row>
    <row r="24" spans="1:32" s="36" customFormat="1">
      <c r="A24" s="35" t="s">
        <v>23</v>
      </c>
      <c r="B24" s="69">
        <v>45616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23" t="s">
        <v>58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12" t="s">
        <v>1</v>
      </c>
      <c r="B27" s="45">
        <f>B28*150</f>
        <v>87750000</v>
      </c>
      <c r="C27" s="45"/>
      <c r="D27" s="45"/>
      <c r="E27" s="45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 spans="1:32" s="36" customFormat="1">
      <c r="A28" s="12" t="s">
        <v>2</v>
      </c>
      <c r="B28" s="24">
        <v>585000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s="36" customFormat="1">
      <c r="A29" s="12" t="s">
        <v>3</v>
      </c>
      <c r="B29" s="24">
        <f>B31*B30</f>
        <v>510000</v>
      </c>
      <c r="C29" s="24">
        <f t="shared" ref="C29:E29" si="20">C30*C31</f>
        <v>0</v>
      </c>
      <c r="D29" s="24">
        <f t="shared" si="20"/>
        <v>0</v>
      </c>
      <c r="E29" s="24">
        <f t="shared" si="20"/>
        <v>0</v>
      </c>
      <c r="F29" s="24">
        <f t="shared" ref="F29" si="21">F30*F31</f>
        <v>0</v>
      </c>
      <c r="G29" s="24"/>
      <c r="H29" s="24">
        <f t="shared" ref="H29:S29" si="22">H30*H31</f>
        <v>0</v>
      </c>
      <c r="I29" s="24">
        <f t="shared" si="22"/>
        <v>0</v>
      </c>
      <c r="J29" s="24">
        <f t="shared" si="22"/>
        <v>0</v>
      </c>
      <c r="K29" s="24">
        <f t="shared" si="22"/>
        <v>187917.00620000003</v>
      </c>
      <c r="L29" s="24">
        <f t="shared" si="22"/>
        <v>537812</v>
      </c>
      <c r="M29" s="24">
        <f t="shared" si="22"/>
        <v>525062</v>
      </c>
      <c r="N29" s="24">
        <f t="shared" si="22"/>
        <v>508877.99999999994</v>
      </c>
      <c r="O29" s="24">
        <f t="shared" si="22"/>
        <v>508368.00000000006</v>
      </c>
      <c r="P29" s="24">
        <f t="shared" si="22"/>
        <v>484738</v>
      </c>
      <c r="Q29" s="24">
        <f t="shared" si="22"/>
        <v>489158</v>
      </c>
      <c r="R29" s="24">
        <f t="shared" si="22"/>
        <v>437048.16479999997</v>
      </c>
      <c r="S29" s="24">
        <f t="shared" si="22"/>
        <v>2439.5386999999996</v>
      </c>
      <c r="T29" s="24"/>
      <c r="U29" s="24">
        <f t="shared" ref="U29:AF29" si="23">U30*U31</f>
        <v>6611.4</v>
      </c>
      <c r="V29" s="24">
        <f t="shared" si="23"/>
        <v>511003.80160000001</v>
      </c>
      <c r="W29" s="24">
        <f t="shared" si="23"/>
        <v>554760</v>
      </c>
      <c r="X29" s="24">
        <f t="shared" si="23"/>
        <v>563868</v>
      </c>
      <c r="Y29" s="24">
        <f t="shared" si="23"/>
        <v>563616</v>
      </c>
      <c r="Z29" s="24">
        <f t="shared" si="23"/>
        <v>553176</v>
      </c>
      <c r="AA29" s="24">
        <f t="shared" si="23"/>
        <v>636940.37329999998</v>
      </c>
      <c r="AB29" s="24">
        <f t="shared" si="23"/>
        <v>575568</v>
      </c>
      <c r="AC29" s="24">
        <f t="shared" si="23"/>
        <v>0</v>
      </c>
      <c r="AD29" s="24">
        <f t="shared" si="23"/>
        <v>0</v>
      </c>
      <c r="AE29" s="24">
        <f t="shared" si="23"/>
        <v>0</v>
      </c>
      <c r="AF29" s="24">
        <f t="shared" si="23"/>
        <v>0</v>
      </c>
    </row>
    <row r="30" spans="1:32" s="36" customFormat="1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36" customFormat="1">
      <c r="A31" s="12" t="s">
        <v>6</v>
      </c>
      <c r="B31" s="26">
        <v>3400</v>
      </c>
      <c r="C31" s="26"/>
      <c r="D31" s="26"/>
      <c r="E31" s="26"/>
      <c r="F31" s="26"/>
      <c r="G31" s="26"/>
      <c r="H31" s="26"/>
      <c r="I31" s="26"/>
      <c r="J31" s="26"/>
      <c r="K31" s="26">
        <v>1246.6300000000001</v>
      </c>
      <c r="L31" s="26">
        <v>3400</v>
      </c>
      <c r="M31" s="26">
        <v>3400</v>
      </c>
      <c r="N31" s="26">
        <v>3400</v>
      </c>
      <c r="O31" s="26">
        <v>3400</v>
      </c>
      <c r="P31" s="26">
        <v>3400</v>
      </c>
      <c r="Q31" s="26">
        <v>3400</v>
      </c>
      <c r="R31" s="26">
        <v>3018.08</v>
      </c>
      <c r="S31" s="26">
        <v>16.329999999999998</v>
      </c>
      <c r="T31" s="26"/>
      <c r="U31" s="26">
        <v>45</v>
      </c>
      <c r="V31" s="26">
        <v>3432.32</v>
      </c>
      <c r="W31" s="26">
        <v>3600</v>
      </c>
      <c r="X31" s="26">
        <v>3600</v>
      </c>
      <c r="Y31" s="26">
        <v>3600</v>
      </c>
      <c r="Z31" s="26">
        <v>3600</v>
      </c>
      <c r="AA31" s="26">
        <v>4087.93</v>
      </c>
      <c r="AB31" s="26">
        <v>3600</v>
      </c>
      <c r="AC31" s="26"/>
      <c r="AD31" s="26"/>
      <c r="AE31" s="26"/>
      <c r="AF31" s="26"/>
    </row>
    <row r="32" spans="1:32" s="36" customFormat="1">
      <c r="A32" s="12" t="s">
        <v>7</v>
      </c>
      <c r="B32" s="24">
        <v>70451659</v>
      </c>
      <c r="C32" s="24"/>
      <c r="D32" s="24"/>
      <c r="E32" s="24"/>
      <c r="F32" s="24"/>
      <c r="G32" s="25"/>
      <c r="H32" s="25"/>
      <c r="I32" s="25"/>
      <c r="J32" s="25"/>
      <c r="K32" s="25">
        <v>657548</v>
      </c>
      <c r="L32" s="25">
        <v>657548</v>
      </c>
      <c r="M32" s="25">
        <v>657551</v>
      </c>
      <c r="N32" s="25">
        <v>657548</v>
      </c>
      <c r="O32" s="25">
        <v>657548</v>
      </c>
      <c r="P32" s="25">
        <v>657548</v>
      </c>
      <c r="Q32" s="25">
        <v>657548</v>
      </c>
      <c r="R32" s="25">
        <v>657548</v>
      </c>
      <c r="S32" s="25">
        <v>657551</v>
      </c>
      <c r="T32" s="25"/>
      <c r="U32" s="25">
        <v>657548</v>
      </c>
      <c r="V32" s="25">
        <v>657548</v>
      </c>
      <c r="W32" s="25">
        <v>657548</v>
      </c>
      <c r="X32" s="25">
        <v>657548</v>
      </c>
      <c r="Y32" s="25">
        <v>657548</v>
      </c>
      <c r="Z32" s="25">
        <v>657552</v>
      </c>
      <c r="AA32" s="25">
        <v>657548</v>
      </c>
      <c r="AB32" s="25">
        <v>657548</v>
      </c>
      <c r="AC32" s="25">
        <v>657548</v>
      </c>
      <c r="AD32" s="25">
        <v>657548</v>
      </c>
      <c r="AE32" s="25">
        <v>657548</v>
      </c>
      <c r="AF32" s="25">
        <v>657553</v>
      </c>
    </row>
    <row r="33" spans="1:32" s="36" customFormat="1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s="36" customFormat="1">
      <c r="A34" s="12" t="s">
        <v>9</v>
      </c>
      <c r="B34" s="24">
        <v>70451659</v>
      </c>
      <c r="C34" s="24"/>
      <c r="D34" s="24"/>
      <c r="E34" s="24"/>
      <c r="F34" s="24"/>
      <c r="G34" s="25"/>
      <c r="H34" s="25"/>
      <c r="I34" s="25"/>
      <c r="J34" s="25"/>
      <c r="K34" s="25">
        <f>B34-K32</f>
        <v>69794111</v>
      </c>
      <c r="L34" s="25">
        <f t="shared" ref="L34" si="24">K34-L32</f>
        <v>69136563</v>
      </c>
      <c r="M34" s="25">
        <f t="shared" ref="M34" si="25">L34-M32</f>
        <v>68479012</v>
      </c>
      <c r="N34" s="25">
        <f t="shared" ref="N34" si="26">M34-N32</f>
        <v>67821464</v>
      </c>
      <c r="O34" s="25">
        <f t="shared" ref="O34" si="27">N34-O32</f>
        <v>67163916</v>
      </c>
      <c r="P34" s="25">
        <f t="shared" ref="P34" si="28">O34-P32</f>
        <v>66506368</v>
      </c>
      <c r="Q34" s="25">
        <f t="shared" ref="Q34" si="29">P34-Q32</f>
        <v>65848820</v>
      </c>
      <c r="R34" s="25">
        <f t="shared" ref="R34" si="30">Q34-R32</f>
        <v>65191272</v>
      </c>
      <c r="S34" s="25">
        <f t="shared" ref="S34" si="31">R34-S32</f>
        <v>64533721</v>
      </c>
      <c r="T34" s="25"/>
      <c r="U34" s="25">
        <f>S34-U32</f>
        <v>63876173</v>
      </c>
      <c r="V34" s="25">
        <f>U34-V32</f>
        <v>63218625</v>
      </c>
      <c r="W34" s="25">
        <f t="shared" ref="W34:AF34" si="32">V34-W32</f>
        <v>62561077</v>
      </c>
      <c r="X34" s="25">
        <f t="shared" si="32"/>
        <v>61903529</v>
      </c>
      <c r="Y34" s="25">
        <f t="shared" si="32"/>
        <v>61245981</v>
      </c>
      <c r="Z34" s="25">
        <f t="shared" si="32"/>
        <v>60588429</v>
      </c>
      <c r="AA34" s="25">
        <f t="shared" si="32"/>
        <v>59930881</v>
      </c>
      <c r="AB34" s="25">
        <f t="shared" si="32"/>
        <v>59273333</v>
      </c>
      <c r="AC34" s="25">
        <f t="shared" si="32"/>
        <v>58615785</v>
      </c>
      <c r="AD34" s="25">
        <f t="shared" si="32"/>
        <v>57958237</v>
      </c>
      <c r="AE34" s="25">
        <f t="shared" si="32"/>
        <v>57300689</v>
      </c>
      <c r="AF34" s="25">
        <f t="shared" si="32"/>
        <v>56643136</v>
      </c>
    </row>
    <row r="35" spans="1:32" s="36" customFormat="1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s="36" customFormat="1">
      <c r="A36" s="12" t="s">
        <v>11</v>
      </c>
      <c r="B36" s="24"/>
      <c r="C36" s="26"/>
      <c r="D36" s="26"/>
      <c r="E36" s="26"/>
      <c r="F36" s="26"/>
      <c r="G36" s="32"/>
      <c r="H36" s="32"/>
      <c r="I36" s="32"/>
      <c r="J36" s="32"/>
      <c r="K36" s="32">
        <v>500</v>
      </c>
      <c r="L36" s="32">
        <v>238</v>
      </c>
      <c r="M36" s="32">
        <v>238</v>
      </c>
      <c r="N36" s="32">
        <v>238</v>
      </c>
      <c r="O36" s="32">
        <v>238</v>
      </c>
      <c r="P36" s="32">
        <v>238</v>
      </c>
      <c r="Q36" s="32">
        <v>238</v>
      </c>
      <c r="R36" s="32">
        <v>238</v>
      </c>
      <c r="S36" s="32">
        <v>119</v>
      </c>
      <c r="T36" s="32"/>
      <c r="U36" s="32">
        <v>119</v>
      </c>
      <c r="V36" s="32">
        <v>252</v>
      </c>
      <c r="W36" s="32">
        <v>252</v>
      </c>
      <c r="X36" s="32">
        <v>252</v>
      </c>
      <c r="Y36" s="32">
        <v>252</v>
      </c>
      <c r="Z36" s="32">
        <v>252</v>
      </c>
      <c r="AA36" s="32">
        <v>252</v>
      </c>
      <c r="AB36" s="32">
        <v>252</v>
      </c>
      <c r="AC36" s="32"/>
      <c r="AD36" s="32"/>
      <c r="AE36" s="32"/>
      <c r="AF36" s="32"/>
    </row>
    <row r="37" spans="1:32" s="36" customFormat="1">
      <c r="A37" s="12" t="s">
        <v>12</v>
      </c>
      <c r="B37" s="26">
        <v>27127.79</v>
      </c>
      <c r="C37" s="26"/>
      <c r="D37" s="26"/>
      <c r="E37" s="26"/>
      <c r="F37" s="26"/>
      <c r="G37" s="32"/>
      <c r="H37" s="32"/>
      <c r="I37" s="32"/>
      <c r="J37" s="32"/>
      <c r="K37" s="32">
        <v>348.82</v>
      </c>
      <c r="L37" s="32">
        <v>2082.52</v>
      </c>
      <c r="M37" s="32">
        <v>2082.4899999999998</v>
      </c>
      <c r="N37" s="32">
        <v>2082.4899999999998</v>
      </c>
      <c r="O37" s="32">
        <v>1928.39</v>
      </c>
      <c r="P37" s="32">
        <v>1928.39</v>
      </c>
      <c r="Q37" s="32">
        <v>1928.39</v>
      </c>
      <c r="R37" s="32">
        <v>2148.61</v>
      </c>
      <c r="S37" s="32">
        <v>2743.59</v>
      </c>
      <c r="U37" s="32">
        <v>10118.59</v>
      </c>
      <c r="V37" s="32">
        <v>6395.21</v>
      </c>
      <c r="W37" s="32">
        <v>2685.62</v>
      </c>
      <c r="X37" s="32">
        <v>2148.62</v>
      </c>
      <c r="Y37" s="32">
        <v>2148.62</v>
      </c>
      <c r="Z37" s="32">
        <v>2148.62</v>
      </c>
      <c r="AA37" s="32">
        <v>2148.62</v>
      </c>
      <c r="AB37" s="32">
        <v>1131.73</v>
      </c>
      <c r="AC37" s="32">
        <v>1131.73</v>
      </c>
      <c r="AD37" s="32">
        <v>1131.73</v>
      </c>
      <c r="AE37" s="32"/>
      <c r="AF37" s="32"/>
    </row>
    <row r="38" spans="1:32" s="36" customFormat="1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33">SUM(D30*D45)</f>
        <v>0</v>
      </c>
      <c r="E44" s="31">
        <f t="shared" si="33"/>
        <v>0</v>
      </c>
      <c r="F44" s="31">
        <f t="shared" si="33"/>
        <v>0</v>
      </c>
      <c r="G44" s="31"/>
      <c r="H44" s="31">
        <f t="shared" ref="H44:S44" si="34">SUM(H30*H45)</f>
        <v>0</v>
      </c>
      <c r="I44" s="31">
        <f t="shared" si="34"/>
        <v>0</v>
      </c>
      <c r="J44" s="31">
        <f t="shared" si="34"/>
        <v>0</v>
      </c>
      <c r="K44" s="31">
        <f t="shared" si="34"/>
        <v>59965.87940000002</v>
      </c>
      <c r="L44" s="31">
        <f t="shared" si="34"/>
        <v>170752.1464</v>
      </c>
      <c r="M44" s="31">
        <f t="shared" si="34"/>
        <v>166708.72930000004</v>
      </c>
      <c r="N44" s="31">
        <f t="shared" si="34"/>
        <v>161570.26170000003</v>
      </c>
      <c r="O44" s="31">
        <f t="shared" si="34"/>
        <v>184449.36720000001</v>
      </c>
      <c r="P44" s="31">
        <f t="shared" si="34"/>
        <v>175875.77769999998</v>
      </c>
      <c r="Q44" s="31">
        <f t="shared" si="34"/>
        <v>177479.47070000001</v>
      </c>
      <c r="R44" s="31">
        <f t="shared" si="34"/>
        <v>91443.170699999973</v>
      </c>
      <c r="S44" s="31">
        <f t="shared" si="34"/>
        <v>-425202.78139999998</v>
      </c>
      <c r="T44" s="31"/>
      <c r="U44" s="31">
        <f t="shared" ref="U44:AF44" si="35">SUM(U30*U45)</f>
        <v>-1497495.3228</v>
      </c>
      <c r="V44" s="31">
        <f t="shared" si="35"/>
        <v>-478632.82319999998</v>
      </c>
      <c r="W44" s="31">
        <f t="shared" si="35"/>
        <v>102072.75800000002</v>
      </c>
      <c r="X44" s="31">
        <f t="shared" si="35"/>
        <v>187858.88940000001</v>
      </c>
      <c r="Y44" s="31">
        <f t="shared" si="35"/>
        <v>187774.93280000001</v>
      </c>
      <c r="Z44" s="31">
        <f t="shared" si="35"/>
        <v>184296.73080000002</v>
      </c>
      <c r="AA44" s="31">
        <f t="shared" si="35"/>
        <v>262899.77110000001</v>
      </c>
      <c r="AB44" s="31">
        <f t="shared" si="35"/>
        <v>354337.2476</v>
      </c>
      <c r="AC44" s="31">
        <f t="shared" si="35"/>
        <v>-181518.17469999997</v>
      </c>
      <c r="AD44" s="31">
        <f t="shared" si="35"/>
        <v>0</v>
      </c>
      <c r="AE44" s="31">
        <f t="shared" si="35"/>
        <v>0</v>
      </c>
      <c r="AF44" s="31">
        <f t="shared" si="35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36">SUM(D31-D36-D37)</f>
        <v>0</v>
      </c>
      <c r="E45" s="33">
        <f t="shared" si="36"/>
        <v>0</v>
      </c>
      <c r="F45" s="33">
        <f t="shared" si="36"/>
        <v>0</v>
      </c>
      <c r="G45" s="33"/>
      <c r="H45" s="33">
        <f t="shared" ref="H45:S45" si="37">SUM(H31-H36-H37)</f>
        <v>0</v>
      </c>
      <c r="I45" s="33">
        <f t="shared" si="37"/>
        <v>0</v>
      </c>
      <c r="J45" s="33">
        <f t="shared" si="37"/>
        <v>0</v>
      </c>
      <c r="K45" s="33">
        <f t="shared" si="37"/>
        <v>397.81000000000012</v>
      </c>
      <c r="L45" s="33">
        <f t="shared" si="37"/>
        <v>1079.48</v>
      </c>
      <c r="M45" s="33">
        <f t="shared" si="37"/>
        <v>1079.5100000000002</v>
      </c>
      <c r="N45" s="33">
        <f t="shared" si="37"/>
        <v>1079.5100000000002</v>
      </c>
      <c r="O45" s="33">
        <f t="shared" si="37"/>
        <v>1233.6099999999999</v>
      </c>
      <c r="P45" s="33">
        <f t="shared" si="37"/>
        <v>1233.6099999999999</v>
      </c>
      <c r="Q45" s="33">
        <f t="shared" si="37"/>
        <v>1233.6099999999999</v>
      </c>
      <c r="R45" s="33">
        <f t="shared" si="37"/>
        <v>631.4699999999998</v>
      </c>
      <c r="S45" s="33">
        <f t="shared" si="37"/>
        <v>-2846.26</v>
      </c>
      <c r="T45" s="33"/>
      <c r="U45" s="33">
        <f t="shared" ref="U45:AF45" si="38">SUM(U31-U36-U37)</f>
        <v>-10192.59</v>
      </c>
      <c r="V45" s="33">
        <f t="shared" si="38"/>
        <v>-3214.89</v>
      </c>
      <c r="W45" s="33">
        <f t="shared" si="38"/>
        <v>662.38000000000011</v>
      </c>
      <c r="X45" s="33">
        <f t="shared" si="38"/>
        <v>1199.3800000000001</v>
      </c>
      <c r="Y45" s="33">
        <f t="shared" si="38"/>
        <v>1199.3800000000001</v>
      </c>
      <c r="Z45" s="33">
        <f t="shared" si="38"/>
        <v>1199.3800000000001</v>
      </c>
      <c r="AA45" s="33">
        <f t="shared" si="38"/>
        <v>1687.31</v>
      </c>
      <c r="AB45" s="33">
        <f t="shared" si="38"/>
        <v>2216.27</v>
      </c>
      <c r="AC45" s="33">
        <f t="shared" si="38"/>
        <v>-1131.73</v>
      </c>
      <c r="AD45" s="33">
        <f t="shared" si="38"/>
        <v>-1131.73</v>
      </c>
      <c r="AE45" s="33">
        <f t="shared" si="38"/>
        <v>0</v>
      </c>
      <c r="AF45" s="33">
        <f t="shared" si="38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>
        <f>SUM(O47:AE47)</f>
        <v>0</v>
      </c>
    </row>
    <row r="50" spans="17:19">
      <c r="R50" s="58">
        <v>13580.75</v>
      </c>
      <c r="S50" s="58"/>
    </row>
    <row r="51" spans="17:19">
      <c r="Q51">
        <v>1</v>
      </c>
      <c r="R51" s="58">
        <v>1131.72</v>
      </c>
      <c r="S51" s="58"/>
    </row>
    <row r="52" spans="17:19">
      <c r="Q52">
        <v>2</v>
      </c>
      <c r="R52" s="58">
        <v>1131.73</v>
      </c>
      <c r="S52" s="58"/>
    </row>
    <row r="53" spans="17:19">
      <c r="Q53">
        <v>3</v>
      </c>
      <c r="R53" s="58">
        <v>1131.73</v>
      </c>
      <c r="S53" s="58"/>
    </row>
    <row r="54" spans="17:19">
      <c r="Q54">
        <v>4</v>
      </c>
      <c r="R54" s="58">
        <v>1131.73</v>
      </c>
      <c r="S54" s="58"/>
    </row>
    <row r="55" spans="17:19">
      <c r="Q55">
        <v>5</v>
      </c>
      <c r="R55" s="58">
        <v>1131.73</v>
      </c>
      <c r="S55" s="58"/>
    </row>
    <row r="56" spans="17:19">
      <c r="Q56">
        <v>6</v>
      </c>
      <c r="R56" s="58">
        <v>1131.73</v>
      </c>
      <c r="S56" s="58"/>
    </row>
    <row r="57" spans="17:19">
      <c r="Q57">
        <v>7</v>
      </c>
      <c r="R57" s="58">
        <v>1131.73</v>
      </c>
      <c r="S57" s="58"/>
    </row>
    <row r="58" spans="17:19">
      <c r="Q58">
        <v>8</v>
      </c>
      <c r="R58" s="58">
        <v>1131.73</v>
      </c>
      <c r="S58" s="58"/>
    </row>
    <row r="59" spans="17:19">
      <c r="Q59">
        <v>9</v>
      </c>
      <c r="R59" s="58">
        <v>1131.73</v>
      </c>
      <c r="S59" s="58"/>
    </row>
    <row r="60" spans="17:19">
      <c r="Q60">
        <v>10</v>
      </c>
      <c r="R60" s="58">
        <v>1131.73</v>
      </c>
      <c r="S60" s="58"/>
    </row>
    <row r="61" spans="17:19">
      <c r="Q61">
        <v>11</v>
      </c>
      <c r="R61" s="58">
        <v>1131.73</v>
      </c>
      <c r="S61" s="58"/>
    </row>
    <row r="62" spans="17:19">
      <c r="Q62">
        <v>12</v>
      </c>
      <c r="R62" s="58">
        <v>1131.73</v>
      </c>
      <c r="S62" s="58"/>
    </row>
    <row r="63" spans="17:19">
      <c r="R63" s="58">
        <f>SUM(R51:R62)</f>
        <v>13580.749999999996</v>
      </c>
      <c r="S63" s="58"/>
    </row>
  </sheetData>
  <phoneticPr fontId="2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4BA9-14BD-43DD-8D11-29B89E438B58}">
  <dimension ref="A1:AH63"/>
  <sheetViews>
    <sheetView zoomScale="90" zoomScaleNormal="90" workbookViewId="0">
      <pane xSplit="1" ySplit="1" topLeftCell="K2" activePane="bottomRight" state="frozen"/>
      <selection pane="bottomRight" activeCell="AA6" sqref="AA6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4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32" width="11.5" bestFit="1" customWidth="1"/>
    <col min="33" max="33" width="9.375" bestFit="1" customWidth="1"/>
  </cols>
  <sheetData>
    <row r="1" spans="1:34">
      <c r="A1" s="23" t="s">
        <v>59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45535</v>
      </c>
      <c r="V1" s="5">
        <v>45565</v>
      </c>
      <c r="W1" s="10">
        <v>45596</v>
      </c>
      <c r="X1" s="10">
        <v>45626</v>
      </c>
      <c r="Y1" s="10">
        <v>45657</v>
      </c>
      <c r="Z1" s="5">
        <v>45688</v>
      </c>
      <c r="AA1" s="5">
        <v>45716</v>
      </c>
      <c r="AB1" s="5">
        <v>45747</v>
      </c>
      <c r="AC1" s="5">
        <v>45777</v>
      </c>
      <c r="AD1" s="5">
        <v>45808</v>
      </c>
      <c r="AE1" s="5">
        <v>45838</v>
      </c>
      <c r="AF1" s="5">
        <v>45869</v>
      </c>
    </row>
    <row r="2" spans="1:34">
      <c r="A2" s="12" t="s">
        <v>1</v>
      </c>
      <c r="B2" s="24">
        <f>B3*160</f>
        <v>224000000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1400000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4">
      <c r="A4" s="12" t="s">
        <v>3</v>
      </c>
      <c r="B4" s="24">
        <f>B6*B5</f>
        <v>990000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4573.2</v>
      </c>
      <c r="G4" s="24"/>
      <c r="H4" s="24">
        <f t="shared" ref="H4:S4" si="0">H5*H6</f>
        <v>0</v>
      </c>
      <c r="I4" s="24">
        <f t="shared" si="0"/>
        <v>6422.8499999999995</v>
      </c>
      <c r="J4" s="24">
        <f t="shared" si="0"/>
        <v>0</v>
      </c>
      <c r="K4" s="24">
        <f t="shared" si="0"/>
        <v>193277.32060000001</v>
      </c>
      <c r="L4" s="24">
        <f t="shared" si="0"/>
        <v>1028170</v>
      </c>
      <c r="M4" s="24">
        <f t="shared" si="0"/>
        <v>1003795</v>
      </c>
      <c r="N4" s="24">
        <f t="shared" si="0"/>
        <v>972854.99999999988</v>
      </c>
      <c r="O4" s="24">
        <f t="shared" si="0"/>
        <v>1007211.5760000001</v>
      </c>
      <c r="P4" s="24">
        <f t="shared" si="0"/>
        <v>1135751.1139</v>
      </c>
      <c r="Q4" s="24">
        <f t="shared" si="0"/>
        <v>963219.72089999996</v>
      </c>
      <c r="R4" s="24">
        <f t="shared" si="0"/>
        <v>946934.31149999995</v>
      </c>
      <c r="S4" s="24">
        <f t="shared" si="0"/>
        <v>979710.07729999989</v>
      </c>
      <c r="T4" s="24"/>
      <c r="U4" s="24">
        <f t="shared" ref="U4:AF4" si="1">U5*U6</f>
        <v>965089.56519999995</v>
      </c>
      <c r="V4" s="24">
        <f t="shared" si="1"/>
        <v>991479.75919999997</v>
      </c>
      <c r="W4" s="24">
        <f t="shared" si="1"/>
        <v>1028107.4289999999</v>
      </c>
      <c r="X4" s="24">
        <f t="shared" si="1"/>
        <v>1044225.5828999999</v>
      </c>
      <c r="Y4" s="24">
        <f t="shared" si="1"/>
        <v>1047226.7087999999</v>
      </c>
      <c r="Z4" s="24">
        <f t="shared" si="1"/>
        <v>1021722.2183999999</v>
      </c>
      <c r="AA4" s="24">
        <f t="shared" si="1"/>
        <v>1038391.0707</v>
      </c>
      <c r="AB4" s="24">
        <f t="shared" si="1"/>
        <v>1068228.6272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6600</v>
      </c>
      <c r="C6" s="26">
        <v>0</v>
      </c>
      <c r="D6" s="26">
        <v>0</v>
      </c>
      <c r="E6" s="26">
        <v>0</v>
      </c>
      <c r="F6" s="26">
        <v>30</v>
      </c>
      <c r="G6" s="26"/>
      <c r="H6" s="26">
        <v>0</v>
      </c>
      <c r="I6" s="26">
        <v>45</v>
      </c>
      <c r="J6" s="26">
        <v>0</v>
      </c>
      <c r="K6" s="26">
        <v>1282.19</v>
      </c>
      <c r="L6" s="26">
        <v>6500</v>
      </c>
      <c r="M6" s="26">
        <v>6500</v>
      </c>
      <c r="N6" s="26">
        <v>6500</v>
      </c>
      <c r="O6" s="26">
        <v>6736.3</v>
      </c>
      <c r="P6" s="26">
        <v>7966.27</v>
      </c>
      <c r="Q6" s="26">
        <v>6695.07</v>
      </c>
      <c r="R6" s="26">
        <v>6539.15</v>
      </c>
      <c r="S6" s="26">
        <v>6558.07</v>
      </c>
      <c r="T6" s="26"/>
      <c r="U6" s="26">
        <v>6568.81</v>
      </c>
      <c r="V6" s="26">
        <v>6659.59</v>
      </c>
      <c r="W6" s="26">
        <v>6671.69</v>
      </c>
      <c r="X6" s="26">
        <v>6666.83</v>
      </c>
      <c r="Y6" s="26">
        <v>6688.98</v>
      </c>
      <c r="Z6" s="26">
        <v>6649.24</v>
      </c>
      <c r="AA6" s="26">
        <v>6664.47</v>
      </c>
      <c r="AB6" s="26">
        <v>6681.44</v>
      </c>
      <c r="AC6" s="26"/>
      <c r="AD6" s="26"/>
      <c r="AE6" s="26"/>
      <c r="AF6" s="26"/>
    </row>
    <row r="7" spans="1:34">
      <c r="A7" s="12" t="s">
        <v>7</v>
      </c>
      <c r="B7" s="24">
        <v>182968579</v>
      </c>
      <c r="C7" s="24"/>
      <c r="D7" s="24"/>
      <c r="E7" s="24"/>
      <c r="F7" s="24"/>
      <c r="G7" s="25"/>
      <c r="H7" s="24"/>
      <c r="I7" s="24">
        <v>1707706</v>
      </c>
      <c r="J7" s="24">
        <v>1707706</v>
      </c>
      <c r="K7" s="24">
        <v>1707706</v>
      </c>
      <c r="L7" s="24">
        <v>1707706</v>
      </c>
      <c r="M7" s="24">
        <v>1707709</v>
      </c>
      <c r="N7" s="24">
        <v>1707706</v>
      </c>
      <c r="O7" s="24">
        <v>1707706</v>
      </c>
      <c r="P7" s="24">
        <v>1707706</v>
      </c>
      <c r="Q7" s="24">
        <v>1707706</v>
      </c>
      <c r="R7" s="24">
        <v>1707706</v>
      </c>
      <c r="S7" s="24">
        <v>1707710</v>
      </c>
      <c r="T7" s="25"/>
      <c r="U7" s="24">
        <v>1707706</v>
      </c>
      <c r="V7" s="24">
        <v>1707706</v>
      </c>
      <c r="W7" s="24">
        <v>1707706</v>
      </c>
      <c r="X7" s="24">
        <v>1707706</v>
      </c>
      <c r="Y7" s="24">
        <v>1707706</v>
      </c>
      <c r="Z7" s="24">
        <v>1707710</v>
      </c>
      <c r="AA7" s="24">
        <v>1707706</v>
      </c>
      <c r="AB7" s="24">
        <v>1707706</v>
      </c>
      <c r="AC7" s="24">
        <v>1707706</v>
      </c>
      <c r="AD7" s="24">
        <v>1707706</v>
      </c>
      <c r="AE7" s="24">
        <v>1707706</v>
      </c>
      <c r="AF7" s="24">
        <v>1707710</v>
      </c>
    </row>
    <row r="8" spans="1:34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4">
      <c r="A9" s="12" t="s">
        <v>9</v>
      </c>
      <c r="B9" s="24">
        <v>182968579</v>
      </c>
      <c r="C9" s="24"/>
      <c r="D9" s="24"/>
      <c r="E9" s="24"/>
      <c r="F9" s="24"/>
      <c r="G9" s="25"/>
      <c r="H9" s="24"/>
      <c r="I9" s="24">
        <f>B9-I7</f>
        <v>181260873</v>
      </c>
      <c r="J9" s="24">
        <f t="shared" ref="J9:S9" si="2">I9-J7</f>
        <v>179553167</v>
      </c>
      <c r="K9" s="24">
        <f t="shared" si="2"/>
        <v>177845461</v>
      </c>
      <c r="L9" s="24">
        <f t="shared" si="2"/>
        <v>176137755</v>
      </c>
      <c r="M9" s="24">
        <f t="shared" si="2"/>
        <v>174430046</v>
      </c>
      <c r="N9" s="24">
        <f t="shared" si="2"/>
        <v>172722340</v>
      </c>
      <c r="O9" s="24">
        <f t="shared" si="2"/>
        <v>171014634</v>
      </c>
      <c r="P9" s="24">
        <f t="shared" si="2"/>
        <v>169306928</v>
      </c>
      <c r="Q9" s="24">
        <f t="shared" si="2"/>
        <v>167599222</v>
      </c>
      <c r="R9" s="24">
        <f t="shared" si="2"/>
        <v>165891516</v>
      </c>
      <c r="S9" s="24">
        <f t="shared" si="2"/>
        <v>164183806</v>
      </c>
      <c r="T9" s="25"/>
      <c r="U9" s="24">
        <f>S9-U7</f>
        <v>162476100</v>
      </c>
      <c r="V9" s="24">
        <f>U9-V7</f>
        <v>160768394</v>
      </c>
      <c r="W9" s="24">
        <f t="shared" ref="W9" si="3">V9-W7</f>
        <v>159060688</v>
      </c>
      <c r="X9" s="24">
        <f t="shared" ref="X9" si="4">W9-X7</f>
        <v>157352982</v>
      </c>
      <c r="Y9" s="24">
        <f t="shared" ref="Y9" si="5">X9-Y7</f>
        <v>155645276</v>
      </c>
      <c r="Z9" s="24">
        <f t="shared" ref="Z9" si="6">Y9-Z7</f>
        <v>153937566</v>
      </c>
      <c r="AA9" s="24">
        <f t="shared" ref="AA9" si="7">Z9-AA7</f>
        <v>152229860</v>
      </c>
      <c r="AB9" s="24">
        <f t="shared" ref="AB9" si="8">AA9-AB7</f>
        <v>150522154</v>
      </c>
      <c r="AC9" s="24">
        <f t="shared" ref="AC9" si="9">AB9-AC7</f>
        <v>148814448</v>
      </c>
      <c r="AD9" s="24">
        <f t="shared" ref="AD9" si="10">AC9-AD7</f>
        <v>147106742</v>
      </c>
      <c r="AE9" s="24">
        <f t="shared" ref="AE9" si="11">AD9-AE7</f>
        <v>145399036</v>
      </c>
      <c r="AF9" s="24">
        <f t="shared" ref="AF9" si="12">AE9-AF7</f>
        <v>143691326</v>
      </c>
    </row>
    <row r="10" spans="1:34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4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>
        <v>715.95</v>
      </c>
      <c r="K11" s="26">
        <v>6600</v>
      </c>
      <c r="L11" s="26">
        <v>455</v>
      </c>
      <c r="M11" s="26">
        <v>455</v>
      </c>
      <c r="N11" s="26">
        <v>455</v>
      </c>
      <c r="O11" s="26">
        <v>455</v>
      </c>
      <c r="P11" s="26">
        <v>455</v>
      </c>
      <c r="Q11" s="26">
        <v>455</v>
      </c>
      <c r="R11" s="26">
        <v>455</v>
      </c>
      <c r="S11" s="26">
        <v>455</v>
      </c>
      <c r="T11" s="26"/>
      <c r="U11" s="26">
        <v>455</v>
      </c>
      <c r="V11" s="26">
        <v>455</v>
      </c>
      <c r="W11" s="26">
        <v>455</v>
      </c>
      <c r="X11" s="26">
        <v>462</v>
      </c>
      <c r="Y11" s="26">
        <v>462</v>
      </c>
      <c r="Z11" s="26">
        <v>462</v>
      </c>
      <c r="AA11" s="26">
        <v>462</v>
      </c>
      <c r="AB11" s="26">
        <v>462</v>
      </c>
      <c r="AC11" s="26"/>
      <c r="AD11" s="26"/>
      <c r="AE11" s="26"/>
      <c r="AF11" s="26"/>
      <c r="AG11" s="64">
        <f>SUM(C36:AF36)</f>
        <v>14630.95</v>
      </c>
      <c r="AH11" t="s">
        <v>26</v>
      </c>
    </row>
    <row r="12" spans="1:34">
      <c r="A12" s="12" t="s">
        <v>12</v>
      </c>
      <c r="B12" s="26">
        <v>1854.83</v>
      </c>
      <c r="C12" s="26"/>
      <c r="D12" s="26"/>
      <c r="E12" s="26"/>
      <c r="F12" s="26"/>
      <c r="G12" s="26"/>
      <c r="H12" s="26"/>
      <c r="I12" s="26">
        <v>653.54999999999995</v>
      </c>
      <c r="J12" s="26">
        <v>8502.6</v>
      </c>
      <c r="K12" s="26">
        <v>1555.81</v>
      </c>
      <c r="L12" s="26">
        <v>11195.25</v>
      </c>
      <c r="M12" s="26">
        <v>1400.86</v>
      </c>
      <c r="N12" s="26">
        <v>1432.63</v>
      </c>
      <c r="O12" s="26">
        <v>1398.54</v>
      </c>
      <c r="P12" s="26">
        <v>1373.16</v>
      </c>
      <c r="Q12" s="26">
        <v>1344.51</v>
      </c>
      <c r="R12" s="26">
        <v>21561.57</v>
      </c>
      <c r="S12" s="26">
        <v>1787.9</v>
      </c>
      <c r="T12" s="26"/>
      <c r="U12" s="26">
        <v>2177.9</v>
      </c>
      <c r="V12" s="26">
        <v>1477</v>
      </c>
      <c r="W12" s="26">
        <v>1389.07</v>
      </c>
      <c r="X12" s="26">
        <v>2054.2399999999998</v>
      </c>
      <c r="Y12" s="26">
        <v>1354.5</v>
      </c>
      <c r="Z12" s="26">
        <v>1382.83</v>
      </c>
      <c r="AA12" s="26">
        <v>1399.8</v>
      </c>
      <c r="AB12" s="26">
        <v>1440.64</v>
      </c>
      <c r="AC12" s="26"/>
      <c r="AD12" s="26"/>
      <c r="AE12" s="26"/>
      <c r="AF12" s="26"/>
      <c r="AG12" s="64">
        <v>13603.61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34429.17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4173.6000000000004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66837.33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13">SUM(D5*D20)</f>
        <v>0</v>
      </c>
      <c r="E19" s="31">
        <f t="shared" si="13"/>
        <v>0</v>
      </c>
      <c r="F19" s="31">
        <f t="shared" si="13"/>
        <v>4573.2</v>
      </c>
      <c r="G19" s="31"/>
      <c r="H19" s="31">
        <f t="shared" si="13"/>
        <v>0</v>
      </c>
      <c r="I19" s="31">
        <f t="shared" si="13"/>
        <v>-86858.34149999998</v>
      </c>
      <c r="J19" s="31">
        <f t="shared" si="13"/>
        <v>-1416338.0220000001</v>
      </c>
      <c r="K19" s="31">
        <f t="shared" si="13"/>
        <v>-1036129.4787999999</v>
      </c>
      <c r="L19" s="31">
        <f t="shared" si="13"/>
        <v>-814666.54500000004</v>
      </c>
      <c r="M19" s="31">
        <f t="shared" si="13"/>
        <v>717194.54020000005</v>
      </c>
      <c r="N19" s="31">
        <f t="shared" si="13"/>
        <v>690333.41789999988</v>
      </c>
      <c r="O19" s="31">
        <f t="shared" si="13"/>
        <v>730070.27520000003</v>
      </c>
      <c r="P19" s="31">
        <f t="shared" si="13"/>
        <v>875110.34270000004</v>
      </c>
      <c r="Q19" s="31">
        <f t="shared" si="13"/>
        <v>704324.21719999996</v>
      </c>
      <c r="R19" s="31">
        <f t="shared" si="13"/>
        <v>-2241285.1902000001</v>
      </c>
      <c r="S19" s="31">
        <f t="shared" si="13"/>
        <v>644643.2463</v>
      </c>
      <c r="T19" s="31"/>
      <c r="U19" s="31">
        <f t="shared" ref="U19:AF19" si="14">SUM(U5*U20)</f>
        <v>578263.89720000001</v>
      </c>
      <c r="V19" s="31">
        <f t="shared" si="14"/>
        <v>703843.59920000006</v>
      </c>
      <c r="W19" s="31">
        <f t="shared" si="14"/>
        <v>743936.24199999997</v>
      </c>
      <c r="X19" s="31">
        <f t="shared" si="14"/>
        <v>650106.91170000006</v>
      </c>
      <c r="Y19" s="31">
        <f t="shared" si="14"/>
        <v>762835.46879999992</v>
      </c>
      <c r="Z19" s="31">
        <f t="shared" si="14"/>
        <v>738245.64059999993</v>
      </c>
      <c r="AA19" s="31">
        <f t="shared" si="14"/>
        <v>748304.01270000008</v>
      </c>
      <c r="AB19" s="31">
        <f t="shared" si="14"/>
        <v>764034.54399999988</v>
      </c>
      <c r="AC19" s="31">
        <f t="shared" si="14"/>
        <v>0</v>
      </c>
      <c r="AD19" s="31">
        <f t="shared" si="14"/>
        <v>0</v>
      </c>
      <c r="AE19" s="31">
        <f t="shared" si="14"/>
        <v>0</v>
      </c>
      <c r="AF19" s="31">
        <f t="shared" si="1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15">SUM(D6-D11-D12)</f>
        <v>0</v>
      </c>
      <c r="E20" s="33">
        <f t="shared" si="15"/>
        <v>0</v>
      </c>
      <c r="F20" s="33">
        <f t="shared" si="15"/>
        <v>30</v>
      </c>
      <c r="G20" s="33"/>
      <c r="H20" s="33">
        <f t="shared" si="15"/>
        <v>0</v>
      </c>
      <c r="I20" s="33">
        <f t="shared" si="15"/>
        <v>-608.54999999999995</v>
      </c>
      <c r="J20" s="33">
        <f t="shared" si="15"/>
        <v>-9218.5500000000011</v>
      </c>
      <c r="K20" s="33">
        <f t="shared" si="15"/>
        <v>-6873.619999999999</v>
      </c>
      <c r="L20" s="33">
        <f t="shared" si="15"/>
        <v>-5150.25</v>
      </c>
      <c r="M20" s="33">
        <f t="shared" si="15"/>
        <v>4644.1400000000003</v>
      </c>
      <c r="N20" s="33">
        <f t="shared" si="15"/>
        <v>4612.37</v>
      </c>
      <c r="O20" s="33">
        <f t="shared" si="15"/>
        <v>4882.76</v>
      </c>
      <c r="P20" s="33">
        <f t="shared" si="15"/>
        <v>6138.1100000000006</v>
      </c>
      <c r="Q20" s="33">
        <f t="shared" si="15"/>
        <v>4895.5599999999995</v>
      </c>
      <c r="R20" s="33">
        <f t="shared" si="15"/>
        <v>-15477.42</v>
      </c>
      <c r="S20" s="33">
        <f t="shared" si="15"/>
        <v>4315.17</v>
      </c>
      <c r="T20" s="33"/>
      <c r="U20" s="33">
        <f t="shared" ref="U20:AF20" si="16">SUM(U6-U11-U12)</f>
        <v>3935.9100000000003</v>
      </c>
      <c r="V20" s="33">
        <f t="shared" si="16"/>
        <v>4727.59</v>
      </c>
      <c r="W20" s="33">
        <f t="shared" si="16"/>
        <v>4827.62</v>
      </c>
      <c r="X20" s="33">
        <f t="shared" si="16"/>
        <v>4150.59</v>
      </c>
      <c r="Y20" s="33">
        <f t="shared" si="16"/>
        <v>4872.4799999999996</v>
      </c>
      <c r="Z20" s="33">
        <f t="shared" si="16"/>
        <v>4804.41</v>
      </c>
      <c r="AA20" s="33">
        <f t="shared" si="16"/>
        <v>4802.67</v>
      </c>
      <c r="AB20" s="33">
        <f t="shared" si="16"/>
        <v>4778.7999999999993</v>
      </c>
      <c r="AC20" s="33">
        <f t="shared" si="16"/>
        <v>0</v>
      </c>
      <c r="AD20" s="33">
        <f t="shared" si="16"/>
        <v>0</v>
      </c>
      <c r="AE20" s="33">
        <f t="shared" si="16"/>
        <v>0</v>
      </c>
      <c r="AF20" s="33">
        <f t="shared" si="1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4" spans="1:32">
      <c r="A24" s="12" t="s">
        <v>23</v>
      </c>
      <c r="B24" s="67">
        <v>45551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59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45535</v>
      </c>
      <c r="V26" s="42">
        <v>45565</v>
      </c>
      <c r="W26" s="44">
        <v>45596</v>
      </c>
      <c r="X26" s="44">
        <v>45626</v>
      </c>
      <c r="Y26" s="44">
        <v>45657</v>
      </c>
      <c r="Z26" s="42">
        <v>45688</v>
      </c>
      <c r="AA26" s="42">
        <v>45716</v>
      </c>
      <c r="AB26" s="42">
        <v>45747</v>
      </c>
      <c r="AC26" s="42">
        <v>45777</v>
      </c>
      <c r="AD26" s="42">
        <v>45808</v>
      </c>
      <c r="AE26" s="42">
        <v>45838</v>
      </c>
      <c r="AF26" s="42">
        <v>45869</v>
      </c>
    </row>
    <row r="27" spans="1:32">
      <c r="A27" s="12" t="s">
        <v>1</v>
      </c>
      <c r="B27" s="24">
        <f>B28*160</f>
        <v>224000000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1400000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975000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4573.2</v>
      </c>
      <c r="G29" s="24"/>
      <c r="H29" s="24">
        <f t="shared" ref="H29:S29" si="17">H30*H31</f>
        <v>0</v>
      </c>
      <c r="I29" s="24">
        <f t="shared" si="17"/>
        <v>6422.8499999999995</v>
      </c>
      <c r="J29" s="24">
        <f t="shared" si="17"/>
        <v>0</v>
      </c>
      <c r="K29" s="24">
        <f t="shared" si="17"/>
        <v>193277.32060000001</v>
      </c>
      <c r="L29" s="24">
        <f t="shared" si="17"/>
        <v>1028170</v>
      </c>
      <c r="M29" s="24">
        <f t="shared" si="17"/>
        <v>1003795</v>
      </c>
      <c r="N29" s="24">
        <f t="shared" si="17"/>
        <v>972854.99999999988</v>
      </c>
      <c r="O29" s="24">
        <f t="shared" si="17"/>
        <v>1007211.5760000001</v>
      </c>
      <c r="P29" s="24">
        <f t="shared" si="17"/>
        <v>1135751.1139</v>
      </c>
      <c r="Q29" s="24">
        <f t="shared" si="17"/>
        <v>963219.72089999996</v>
      </c>
      <c r="R29" s="24">
        <f t="shared" si="17"/>
        <v>946934.31149999995</v>
      </c>
      <c r="S29" s="24">
        <f t="shared" si="17"/>
        <v>979710.07729999989</v>
      </c>
      <c r="T29" s="24"/>
      <c r="U29" s="24">
        <f t="shared" ref="U29:AF29" si="18">U30*U31</f>
        <v>965089.56519999995</v>
      </c>
      <c r="V29" s="24">
        <f t="shared" si="18"/>
        <v>991479.75919999997</v>
      </c>
      <c r="W29" s="24">
        <f t="shared" si="18"/>
        <v>1028107.4289999999</v>
      </c>
      <c r="X29" s="24">
        <f t="shared" si="18"/>
        <v>1044225.5828999999</v>
      </c>
      <c r="Y29" s="24">
        <f t="shared" si="18"/>
        <v>1047226.7087999999</v>
      </c>
      <c r="Z29" s="24">
        <f t="shared" si="18"/>
        <v>1021722.2183999999</v>
      </c>
      <c r="AA29" s="24">
        <f t="shared" si="18"/>
        <v>1038391.0707</v>
      </c>
      <c r="AB29" s="24">
        <f t="shared" si="18"/>
        <v>1068228.6272</v>
      </c>
      <c r="AC29" s="24">
        <f t="shared" si="18"/>
        <v>0</v>
      </c>
      <c r="AD29" s="24">
        <f t="shared" si="18"/>
        <v>0</v>
      </c>
      <c r="AE29" s="24">
        <f t="shared" si="18"/>
        <v>0</v>
      </c>
      <c r="AF29" s="24">
        <f t="shared" si="18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>
        <v>6500</v>
      </c>
      <c r="C31" s="26">
        <v>0</v>
      </c>
      <c r="D31" s="26">
        <v>0</v>
      </c>
      <c r="E31" s="26">
        <v>0</v>
      </c>
      <c r="F31" s="26">
        <v>30</v>
      </c>
      <c r="G31" s="26"/>
      <c r="H31" s="26">
        <v>0</v>
      </c>
      <c r="I31" s="26">
        <v>45</v>
      </c>
      <c r="J31" s="26">
        <v>0</v>
      </c>
      <c r="K31" s="26">
        <v>1282.19</v>
      </c>
      <c r="L31" s="26">
        <v>6500</v>
      </c>
      <c r="M31" s="26">
        <v>6500</v>
      </c>
      <c r="N31" s="26">
        <v>6500</v>
      </c>
      <c r="O31" s="26">
        <v>6736.3</v>
      </c>
      <c r="P31" s="26">
        <v>7966.27</v>
      </c>
      <c r="Q31" s="26">
        <v>6695.07</v>
      </c>
      <c r="R31" s="26">
        <v>6539.15</v>
      </c>
      <c r="S31" s="26">
        <v>6558.07</v>
      </c>
      <c r="T31" s="26"/>
      <c r="U31" s="26">
        <v>6568.81</v>
      </c>
      <c r="V31" s="26">
        <v>6659.59</v>
      </c>
      <c r="W31" s="26">
        <v>6671.69</v>
      </c>
      <c r="X31" s="26">
        <v>6666.83</v>
      </c>
      <c r="Y31" s="26">
        <v>6688.98</v>
      </c>
      <c r="Z31" s="26">
        <v>6649.24</v>
      </c>
      <c r="AA31" s="26">
        <v>6664.47</v>
      </c>
      <c r="AB31" s="26">
        <v>6681.44</v>
      </c>
      <c r="AC31" s="26"/>
      <c r="AD31" s="26"/>
      <c r="AE31" s="26"/>
      <c r="AF31" s="26"/>
    </row>
    <row r="32" spans="1:32">
      <c r="A32" s="12" t="s">
        <v>7</v>
      </c>
      <c r="B32" s="24">
        <v>182968579</v>
      </c>
      <c r="C32" s="24"/>
      <c r="D32" s="24"/>
      <c r="E32" s="24"/>
      <c r="F32" s="24"/>
      <c r="G32" s="25"/>
      <c r="H32" s="24"/>
      <c r="I32" s="24">
        <v>1707706</v>
      </c>
      <c r="J32" s="24">
        <v>1707706</v>
      </c>
      <c r="K32" s="24">
        <v>1707706</v>
      </c>
      <c r="L32" s="24">
        <v>1707706</v>
      </c>
      <c r="M32" s="24">
        <v>1707709</v>
      </c>
      <c r="N32" s="24">
        <v>1707706</v>
      </c>
      <c r="O32" s="24">
        <v>1707706</v>
      </c>
      <c r="P32" s="24">
        <v>1707706</v>
      </c>
      <c r="Q32" s="24">
        <v>1707706</v>
      </c>
      <c r="R32" s="24">
        <v>1707706</v>
      </c>
      <c r="S32" s="24">
        <v>1707710</v>
      </c>
      <c r="T32" s="25"/>
      <c r="U32" s="24">
        <v>1707706</v>
      </c>
      <c r="V32" s="24">
        <v>1707706</v>
      </c>
      <c r="W32" s="24">
        <v>1707706</v>
      </c>
      <c r="X32" s="24">
        <v>1707706</v>
      </c>
      <c r="Y32" s="24">
        <v>1707706</v>
      </c>
      <c r="Z32" s="24">
        <v>1707710</v>
      </c>
      <c r="AA32" s="24">
        <v>1707706</v>
      </c>
      <c r="AB32" s="24">
        <v>1707706</v>
      </c>
      <c r="AC32" s="24">
        <v>1707706</v>
      </c>
      <c r="AD32" s="24">
        <v>1707706</v>
      </c>
      <c r="AE32" s="24">
        <v>1707706</v>
      </c>
      <c r="AF32" s="24">
        <v>1707710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>
        <v>182968579</v>
      </c>
      <c r="C34" s="24"/>
      <c r="D34" s="24"/>
      <c r="E34" s="24"/>
      <c r="F34" s="24"/>
      <c r="G34" s="25"/>
      <c r="H34" s="24"/>
      <c r="I34" s="24">
        <f>B34-I32</f>
        <v>181260873</v>
      </c>
      <c r="J34" s="24">
        <f t="shared" ref="J34" si="19">I34-J32</f>
        <v>179553167</v>
      </c>
      <c r="K34" s="24">
        <f t="shared" ref="K34" si="20">J34-K32</f>
        <v>177845461</v>
      </c>
      <c r="L34" s="24">
        <f t="shared" ref="L34" si="21">K34-L32</f>
        <v>176137755</v>
      </c>
      <c r="M34" s="24">
        <f t="shared" ref="M34" si="22">L34-M32</f>
        <v>174430046</v>
      </c>
      <c r="N34" s="24">
        <f t="shared" ref="N34" si="23">M34-N32</f>
        <v>172722340</v>
      </c>
      <c r="O34" s="24">
        <f t="shared" ref="O34" si="24">N34-O32</f>
        <v>171014634</v>
      </c>
      <c r="P34" s="24">
        <f t="shared" ref="P34" si="25">O34-P32</f>
        <v>169306928</v>
      </c>
      <c r="Q34" s="24">
        <f t="shared" ref="Q34" si="26">P34-Q32</f>
        <v>167599222</v>
      </c>
      <c r="R34" s="24">
        <f t="shared" ref="R34" si="27">Q34-R32</f>
        <v>165891516</v>
      </c>
      <c r="S34" s="24">
        <f t="shared" ref="S34" si="28">R34-S32</f>
        <v>164183806</v>
      </c>
      <c r="T34" s="25"/>
      <c r="U34" s="24">
        <f>S34-U32</f>
        <v>162476100</v>
      </c>
      <c r="V34" s="24">
        <f>U34-V32</f>
        <v>160768394</v>
      </c>
      <c r="W34" s="24">
        <f t="shared" ref="W34" si="29">V34-W32</f>
        <v>159060688</v>
      </c>
      <c r="X34" s="24">
        <f t="shared" ref="X34" si="30">W34-X32</f>
        <v>157352982</v>
      </c>
      <c r="Y34" s="24">
        <f t="shared" ref="Y34" si="31">X34-Y32</f>
        <v>155645276</v>
      </c>
      <c r="Z34" s="24">
        <f t="shared" ref="Z34" si="32">Y34-Z32</f>
        <v>153937566</v>
      </c>
      <c r="AA34" s="24">
        <f t="shared" ref="AA34" si="33">Z34-AA32</f>
        <v>152229860</v>
      </c>
      <c r="AB34" s="24">
        <f t="shared" ref="AB34" si="34">AA34-AB32</f>
        <v>150522154</v>
      </c>
      <c r="AC34" s="24">
        <f t="shared" ref="AC34" si="35">AB34-AC32</f>
        <v>148814448</v>
      </c>
      <c r="AD34" s="24">
        <f t="shared" ref="AD34" si="36">AC34-AD32</f>
        <v>147106742</v>
      </c>
      <c r="AE34" s="24">
        <f t="shared" ref="AE34" si="37">AD34-AE32</f>
        <v>145399036</v>
      </c>
      <c r="AF34" s="24">
        <f t="shared" ref="AF34" si="38">AE34-AF32</f>
        <v>143691326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>
        <v>715.95</v>
      </c>
      <c r="K36" s="26">
        <v>6600</v>
      </c>
      <c r="L36" s="26">
        <v>455</v>
      </c>
      <c r="M36" s="26">
        <v>455</v>
      </c>
      <c r="N36" s="26">
        <v>455</v>
      </c>
      <c r="O36" s="26">
        <v>455</v>
      </c>
      <c r="P36" s="26">
        <v>455</v>
      </c>
      <c r="Q36" s="26">
        <v>455</v>
      </c>
      <c r="R36" s="26">
        <v>455</v>
      </c>
      <c r="S36" s="26">
        <v>455</v>
      </c>
      <c r="T36" s="26"/>
      <c r="U36" s="26">
        <v>455</v>
      </c>
      <c r="V36" s="26">
        <v>455</v>
      </c>
      <c r="W36" s="26">
        <v>455</v>
      </c>
      <c r="X36" s="26">
        <v>462</v>
      </c>
      <c r="Y36" s="26">
        <v>462</v>
      </c>
      <c r="Z36" s="26">
        <v>462</v>
      </c>
      <c r="AA36" s="26">
        <v>462</v>
      </c>
      <c r="AB36" s="26">
        <v>462</v>
      </c>
      <c r="AC36" s="26"/>
      <c r="AD36" s="26"/>
      <c r="AE36" s="26"/>
      <c r="AF36" s="26"/>
    </row>
    <row r="37" spans="1:32">
      <c r="A37" s="12" t="s">
        <v>12</v>
      </c>
      <c r="B37" s="26">
        <v>1854.83</v>
      </c>
      <c r="C37" s="26"/>
      <c r="D37" s="26"/>
      <c r="E37" s="26"/>
      <c r="F37" s="26"/>
      <c r="G37" s="26"/>
      <c r="H37" s="26"/>
      <c r="I37" s="26">
        <v>653.54999999999995</v>
      </c>
      <c r="J37" s="26">
        <v>5407.62</v>
      </c>
      <c r="K37" s="26">
        <v>3103.3</v>
      </c>
      <c r="L37" s="26">
        <v>4752.29</v>
      </c>
      <c r="M37" s="26">
        <v>2998.95</v>
      </c>
      <c r="N37" s="26">
        <v>3030.72</v>
      </c>
      <c r="O37" s="26">
        <v>2996.63</v>
      </c>
      <c r="P37" s="26">
        <v>2971.25</v>
      </c>
      <c r="Q37" s="26">
        <v>2942.6</v>
      </c>
      <c r="R37" s="26">
        <v>3046.59</v>
      </c>
      <c r="S37" s="26">
        <v>3471.08</v>
      </c>
      <c r="U37" s="26">
        <v>3861.08</v>
      </c>
      <c r="V37" s="26">
        <v>3160.18</v>
      </c>
      <c r="W37" s="26">
        <v>3072.25</v>
      </c>
      <c r="X37" s="26">
        <v>3737.42</v>
      </c>
      <c r="Y37" s="26">
        <v>3037.68</v>
      </c>
      <c r="Z37" s="26">
        <v>3066.01</v>
      </c>
      <c r="AA37" s="26">
        <v>3082.98</v>
      </c>
      <c r="AB37" s="26">
        <v>1683.18</v>
      </c>
      <c r="AC37" s="26">
        <v>1683.18</v>
      </c>
      <c r="AD37" s="26">
        <v>1683.18</v>
      </c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39">SUM(D30*D45)</f>
        <v>0</v>
      </c>
      <c r="E44" s="31">
        <f t="shared" si="39"/>
        <v>0</v>
      </c>
      <c r="F44" s="31">
        <f t="shared" si="39"/>
        <v>4573.2</v>
      </c>
      <c r="G44" s="31"/>
      <c r="H44" s="31">
        <f t="shared" ref="H44:S44" si="40">SUM(H30*H45)</f>
        <v>0</v>
      </c>
      <c r="I44" s="31">
        <f t="shared" si="40"/>
        <v>-86858.34149999998</v>
      </c>
      <c r="J44" s="31">
        <f t="shared" si="40"/>
        <v>-940825.29479999992</v>
      </c>
      <c r="K44" s="31">
        <f t="shared" si="40"/>
        <v>-1269398.1214000001</v>
      </c>
      <c r="L44" s="31">
        <f t="shared" si="40"/>
        <v>204480.86780000001</v>
      </c>
      <c r="M44" s="31">
        <f t="shared" si="40"/>
        <v>470401.50150000007</v>
      </c>
      <c r="N44" s="31">
        <f t="shared" si="40"/>
        <v>451147.28759999998</v>
      </c>
      <c r="O44" s="31">
        <f t="shared" si="40"/>
        <v>491123.85840000003</v>
      </c>
      <c r="P44" s="31">
        <f t="shared" si="40"/>
        <v>647270.65139999997</v>
      </c>
      <c r="Q44" s="31">
        <f t="shared" si="40"/>
        <v>474407.00890000002</v>
      </c>
      <c r="R44" s="31">
        <f t="shared" si="40"/>
        <v>439869.06359999994</v>
      </c>
      <c r="S44" s="31">
        <f t="shared" si="40"/>
        <v>393192.98609999992</v>
      </c>
      <c r="T44" s="31"/>
      <c r="U44" s="31">
        <f t="shared" ref="U44:AF44" si="41">SUM(U30*U45)</f>
        <v>330971.09160000004</v>
      </c>
      <c r="V44" s="31">
        <f t="shared" si="41"/>
        <v>453251.76080000005</v>
      </c>
      <c r="W44" s="31">
        <f t="shared" si="41"/>
        <v>484558.20399999991</v>
      </c>
      <c r="X44" s="31">
        <f t="shared" si="41"/>
        <v>386470.42829999997</v>
      </c>
      <c r="Y44" s="31">
        <f t="shared" si="41"/>
        <v>499316.80799999996</v>
      </c>
      <c r="Z44" s="31">
        <f t="shared" si="41"/>
        <v>479608.20179999992</v>
      </c>
      <c r="AA44" s="31">
        <f t="shared" si="41"/>
        <v>486047.73690000002</v>
      </c>
      <c r="AB44" s="31">
        <f t="shared" si="41"/>
        <v>725257.24879999983</v>
      </c>
      <c r="AC44" s="31">
        <f t="shared" si="41"/>
        <v>-269965.2402</v>
      </c>
      <c r="AD44" s="31">
        <f t="shared" si="41"/>
        <v>0</v>
      </c>
      <c r="AE44" s="31">
        <f t="shared" si="41"/>
        <v>0</v>
      </c>
      <c r="AF44" s="31">
        <f t="shared" si="41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42">SUM(D31-D36-D37)</f>
        <v>0</v>
      </c>
      <c r="E45" s="33">
        <f t="shared" si="42"/>
        <v>0</v>
      </c>
      <c r="F45" s="33">
        <f t="shared" si="42"/>
        <v>30</v>
      </c>
      <c r="G45" s="33"/>
      <c r="H45" s="33">
        <f t="shared" ref="H45:S45" si="43">SUM(H31-H36-H37)</f>
        <v>0</v>
      </c>
      <c r="I45" s="33">
        <f t="shared" si="43"/>
        <v>-608.54999999999995</v>
      </c>
      <c r="J45" s="33">
        <f t="shared" si="43"/>
        <v>-6123.57</v>
      </c>
      <c r="K45" s="33">
        <f t="shared" si="43"/>
        <v>-8421.11</v>
      </c>
      <c r="L45" s="33">
        <f t="shared" si="43"/>
        <v>1292.71</v>
      </c>
      <c r="M45" s="33">
        <f t="shared" si="43"/>
        <v>3046.05</v>
      </c>
      <c r="N45" s="33">
        <f t="shared" si="43"/>
        <v>3014.28</v>
      </c>
      <c r="O45" s="33">
        <f t="shared" si="43"/>
        <v>3284.67</v>
      </c>
      <c r="P45" s="33">
        <f t="shared" si="43"/>
        <v>4540.0200000000004</v>
      </c>
      <c r="Q45" s="33">
        <f t="shared" si="43"/>
        <v>3297.47</v>
      </c>
      <c r="R45" s="33">
        <f t="shared" si="43"/>
        <v>3037.5599999999995</v>
      </c>
      <c r="S45" s="33">
        <f t="shared" si="43"/>
        <v>2631.99</v>
      </c>
      <c r="T45" s="33"/>
      <c r="U45" s="33">
        <f t="shared" ref="U45:AF45" si="44">SUM(U31-U36-U37)</f>
        <v>2252.7300000000005</v>
      </c>
      <c r="V45" s="33">
        <f t="shared" si="44"/>
        <v>3044.4100000000003</v>
      </c>
      <c r="W45" s="33">
        <f t="shared" si="44"/>
        <v>3144.4399999999996</v>
      </c>
      <c r="X45" s="33">
        <f t="shared" si="44"/>
        <v>2467.41</v>
      </c>
      <c r="Y45" s="33">
        <f t="shared" si="44"/>
        <v>3189.2999999999997</v>
      </c>
      <c r="Z45" s="33">
        <f t="shared" si="44"/>
        <v>3121.2299999999996</v>
      </c>
      <c r="AA45" s="33">
        <f t="shared" si="44"/>
        <v>3119.4900000000002</v>
      </c>
      <c r="AB45" s="33">
        <f t="shared" si="44"/>
        <v>4536.2599999999993</v>
      </c>
      <c r="AC45" s="33">
        <f t="shared" si="44"/>
        <v>-1683.18</v>
      </c>
      <c r="AD45" s="33">
        <f t="shared" si="44"/>
        <v>-1683.18</v>
      </c>
      <c r="AE45" s="33">
        <f t="shared" si="44"/>
        <v>0</v>
      </c>
      <c r="AF45" s="33">
        <f t="shared" si="44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7:19">
      <c r="R50" s="58">
        <v>20198.14</v>
      </c>
      <c r="S50" s="58"/>
    </row>
    <row r="51" spans="17:19">
      <c r="Q51">
        <v>1</v>
      </c>
      <c r="R51" s="58">
        <v>1683.16</v>
      </c>
      <c r="S51" s="58"/>
    </row>
    <row r="52" spans="17:19">
      <c r="Q52">
        <v>2</v>
      </c>
      <c r="R52" s="58">
        <v>1683.18</v>
      </c>
      <c r="S52" s="58"/>
    </row>
    <row r="53" spans="17:19">
      <c r="Q53">
        <v>3</v>
      </c>
      <c r="R53" s="58">
        <v>1683.18</v>
      </c>
      <c r="S53" s="58"/>
    </row>
    <row r="54" spans="17:19">
      <c r="Q54">
        <v>4</v>
      </c>
      <c r="R54" s="58">
        <v>1683.18</v>
      </c>
      <c r="S54" s="58"/>
    </row>
    <row r="55" spans="17:19">
      <c r="Q55">
        <v>5</v>
      </c>
      <c r="R55" s="58">
        <v>1683.18</v>
      </c>
      <c r="S55" s="58"/>
    </row>
    <row r="56" spans="17:19">
      <c r="Q56">
        <v>6</v>
      </c>
      <c r="R56" s="58">
        <v>1683.18</v>
      </c>
      <c r="S56" s="58"/>
    </row>
    <row r="57" spans="17:19">
      <c r="Q57">
        <v>7</v>
      </c>
      <c r="R57" s="58">
        <v>1683.18</v>
      </c>
      <c r="S57" s="58"/>
    </row>
    <row r="58" spans="17:19">
      <c r="Q58">
        <v>8</v>
      </c>
      <c r="R58" s="58">
        <v>1683.18</v>
      </c>
      <c r="S58" s="58"/>
    </row>
    <row r="59" spans="17:19">
      <c r="Q59">
        <v>9</v>
      </c>
      <c r="R59" s="58">
        <v>1683.18</v>
      </c>
      <c r="S59" s="58"/>
    </row>
    <row r="60" spans="17:19">
      <c r="Q60">
        <v>10</v>
      </c>
      <c r="R60" s="58">
        <v>1683.18</v>
      </c>
      <c r="S60" s="58"/>
    </row>
    <row r="61" spans="17:19">
      <c r="Q61">
        <v>11</v>
      </c>
      <c r="R61" s="58">
        <v>1683.18</v>
      </c>
      <c r="S61" s="58"/>
    </row>
    <row r="62" spans="17:19">
      <c r="Q62">
        <v>12</v>
      </c>
      <c r="R62" s="58">
        <v>1683.18</v>
      </c>
      <c r="S62" s="58"/>
    </row>
    <row r="63" spans="17:19">
      <c r="R63" s="58">
        <f>SUM(R51:R62)</f>
        <v>20198.140000000003</v>
      </c>
      <c r="S63" s="58"/>
    </row>
  </sheetData>
  <phoneticPr fontId="2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9690-B9F3-4A5A-9A55-3CB1E40F73DD}">
  <dimension ref="A1:AH106"/>
  <sheetViews>
    <sheetView zoomScale="90" zoomScaleNormal="90" workbookViewId="0">
      <pane xSplit="1" ySplit="1" topLeftCell="O2" activePane="bottomRight" state="frozen"/>
      <selection pane="bottomRight" activeCell="A5" sqref="A1:AH22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4.375" customWidth="1"/>
    <col min="3" max="6" width="10.625" customWidth="1"/>
    <col min="7" max="7" width="10.375" customWidth="1"/>
    <col min="8" max="8" width="10.75" customWidth="1"/>
    <col min="9" max="13" width="10.875" customWidth="1"/>
    <col min="14" max="14" width="31.75" customWidth="1"/>
    <col min="15" max="19" width="10.875" customWidth="1"/>
    <col min="20" max="20" width="10.75" customWidth="1"/>
    <col min="21" max="22" width="11.5" bestFit="1" customWidth="1"/>
    <col min="23" max="23" width="11.25" bestFit="1" customWidth="1"/>
    <col min="24" max="26" width="11.5" bestFit="1" customWidth="1"/>
    <col min="27" max="32" width="10.375" bestFit="1" customWidth="1"/>
    <col min="33" max="33" width="9.375" bestFit="1" customWidth="1"/>
  </cols>
  <sheetData>
    <row r="1" spans="1:34">
      <c r="A1" s="23" t="s">
        <v>60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61</v>
      </c>
      <c r="B2" s="24">
        <v>120000000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62</v>
      </c>
      <c r="B3" s="24">
        <v>800000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63</v>
      </c>
      <c r="B4" s="24">
        <v>652500</v>
      </c>
      <c r="C4" s="24"/>
      <c r="D4" s="24"/>
      <c r="E4" s="24"/>
      <c r="F4" s="24">
        <v>0</v>
      </c>
      <c r="G4" s="24"/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625834.5</v>
      </c>
      <c r="R4" s="24">
        <v>629923.5</v>
      </c>
      <c r="S4" s="24">
        <v>649846.5</v>
      </c>
      <c r="T4" s="24"/>
      <c r="U4" s="24">
        <v>639102</v>
      </c>
      <c r="V4" s="24">
        <v>647628</v>
      </c>
      <c r="W4" s="24">
        <v>670335</v>
      </c>
      <c r="X4" s="24">
        <v>681340.5</v>
      </c>
      <c r="Y4" s="24">
        <v>681036</v>
      </c>
      <c r="Z4" s="24">
        <v>668421</v>
      </c>
      <c r="AA4" s="24">
        <v>677773.5</v>
      </c>
      <c r="AB4" s="24">
        <v>695478</v>
      </c>
      <c r="AC4" s="24">
        <v>697696.5</v>
      </c>
      <c r="AD4" s="24">
        <v>0</v>
      </c>
      <c r="AE4" s="24">
        <v>0</v>
      </c>
      <c r="AF4" s="24">
        <v>0</v>
      </c>
    </row>
    <row r="5" spans="1:34">
      <c r="A5" s="12" t="s">
        <v>64</v>
      </c>
      <c r="B5" s="26">
        <v>150</v>
      </c>
      <c r="C5" s="26">
        <v>156.9</v>
      </c>
      <c r="D5" s="26">
        <v>156.74</v>
      </c>
      <c r="E5" s="26">
        <v>161.07</v>
      </c>
      <c r="F5" s="26">
        <v>152.44</v>
      </c>
      <c r="G5" s="26"/>
      <c r="H5" s="26">
        <v>144.80000000000001</v>
      </c>
      <c r="I5" s="26">
        <v>142.72999999999999</v>
      </c>
      <c r="J5" s="26">
        <v>153.63999999999999</v>
      </c>
      <c r="K5" s="26">
        <v>150.74</v>
      </c>
      <c r="L5" s="26">
        <v>158.18</v>
      </c>
      <c r="M5" s="26">
        <v>154.43</v>
      </c>
      <c r="N5" s="26">
        <v>149.66999999999999</v>
      </c>
      <c r="O5" s="26">
        <v>149.52000000000001</v>
      </c>
      <c r="P5" s="26">
        <v>142.57</v>
      </c>
      <c r="Q5" s="26">
        <v>143.87</v>
      </c>
      <c r="R5" s="26">
        <v>144.81</v>
      </c>
      <c r="S5" s="26">
        <v>149.38999999999999</v>
      </c>
      <c r="T5" s="26"/>
      <c r="U5" s="26">
        <v>146.91999999999999</v>
      </c>
      <c r="V5" s="26">
        <v>148.88</v>
      </c>
      <c r="W5" s="26">
        <v>154.1</v>
      </c>
      <c r="X5" s="26">
        <v>156.63</v>
      </c>
      <c r="Y5" s="26">
        <v>156.56</v>
      </c>
      <c r="Z5" s="26">
        <v>153.66</v>
      </c>
      <c r="AA5" s="26">
        <v>155.81</v>
      </c>
      <c r="AB5" s="26">
        <v>159.88</v>
      </c>
      <c r="AC5" s="26">
        <v>160.38999999999999</v>
      </c>
      <c r="AD5" s="26">
        <v>0</v>
      </c>
      <c r="AE5" s="26">
        <v>0</v>
      </c>
      <c r="AF5" s="26">
        <v>0</v>
      </c>
    </row>
    <row r="6" spans="1:34">
      <c r="A6" s="12" t="s">
        <v>65</v>
      </c>
      <c r="B6" s="26">
        <v>4350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>
        <v>4350</v>
      </c>
      <c r="R6" s="26">
        <v>4350</v>
      </c>
      <c r="S6" s="26">
        <v>4350</v>
      </c>
      <c r="T6" s="26"/>
      <c r="U6" s="26">
        <v>4350</v>
      </c>
      <c r="V6" s="26">
        <v>4350</v>
      </c>
      <c r="W6" s="26">
        <v>4350</v>
      </c>
      <c r="X6" s="26">
        <v>4350</v>
      </c>
      <c r="Y6" s="26">
        <v>4350</v>
      </c>
      <c r="Z6" s="26">
        <v>4350</v>
      </c>
      <c r="AA6" s="26">
        <v>4350</v>
      </c>
      <c r="AB6" s="26">
        <v>4350</v>
      </c>
      <c r="AC6" s="26">
        <v>4350</v>
      </c>
      <c r="AD6" s="26">
        <v>4350</v>
      </c>
      <c r="AE6" s="26"/>
      <c r="AF6" s="26"/>
    </row>
    <row r="7" spans="1:34">
      <c r="A7" s="12" t="s">
        <v>66</v>
      </c>
      <c r="B7" s="24">
        <v>108892921</v>
      </c>
      <c r="C7" s="24"/>
      <c r="D7" s="24"/>
      <c r="E7" s="24"/>
      <c r="F7" s="24"/>
      <c r="G7" s="25"/>
      <c r="H7" s="25"/>
      <c r="I7" s="25"/>
      <c r="J7" s="25"/>
      <c r="K7" s="25">
        <v>1016333</v>
      </c>
      <c r="L7" s="25">
        <v>1016333</v>
      </c>
      <c r="M7" s="25">
        <v>1016337</v>
      </c>
      <c r="N7" s="25">
        <v>1016333</v>
      </c>
      <c r="O7" s="25">
        <v>1016333</v>
      </c>
      <c r="P7" s="25">
        <v>1016333</v>
      </c>
      <c r="Q7" s="25">
        <v>1016333</v>
      </c>
      <c r="R7" s="25">
        <v>1016333</v>
      </c>
      <c r="S7" s="25">
        <v>1016337</v>
      </c>
      <c r="T7" s="25"/>
      <c r="U7" s="25">
        <v>1016333</v>
      </c>
      <c r="V7" s="25">
        <v>1016333</v>
      </c>
      <c r="W7" s="25">
        <v>1016333</v>
      </c>
      <c r="X7" s="25">
        <v>1016333</v>
      </c>
      <c r="Y7" s="25">
        <v>1016333</v>
      </c>
      <c r="Z7" s="25">
        <v>1016338</v>
      </c>
      <c r="AA7" s="25">
        <v>1016333</v>
      </c>
      <c r="AB7" s="25">
        <v>1016333</v>
      </c>
      <c r="AC7" s="25">
        <v>1016333</v>
      </c>
      <c r="AD7" s="25">
        <v>1016333</v>
      </c>
      <c r="AE7" s="25">
        <v>1016333</v>
      </c>
      <c r="AF7" s="25">
        <v>1016339</v>
      </c>
    </row>
    <row r="8" spans="1:34">
      <c r="A8" s="12" t="s">
        <v>67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68</v>
      </c>
      <c r="B9" s="24">
        <v>108892921</v>
      </c>
      <c r="C9" s="24"/>
      <c r="D9" s="24"/>
      <c r="E9" s="24"/>
      <c r="F9" s="24"/>
      <c r="G9" s="25"/>
      <c r="H9" s="25"/>
      <c r="I9" s="25"/>
      <c r="J9" s="25"/>
      <c r="K9" s="25">
        <v>107876588</v>
      </c>
      <c r="L9" s="25">
        <v>106860255</v>
      </c>
      <c r="M9" s="25">
        <v>105843918</v>
      </c>
      <c r="N9" s="25">
        <v>104827585</v>
      </c>
      <c r="O9" s="25">
        <v>103811252</v>
      </c>
      <c r="P9" s="25">
        <v>102794919</v>
      </c>
      <c r="Q9" s="25">
        <v>101778586</v>
      </c>
      <c r="R9" s="25">
        <v>100762253</v>
      </c>
      <c r="S9" s="25">
        <v>99745916</v>
      </c>
      <c r="T9" s="25"/>
      <c r="U9" s="25">
        <v>98729583</v>
      </c>
      <c r="V9" s="25">
        <v>97713250</v>
      </c>
      <c r="W9" s="25">
        <v>96696917</v>
      </c>
      <c r="X9" s="25">
        <v>95680584</v>
      </c>
      <c r="Y9" s="25">
        <v>94664251</v>
      </c>
      <c r="Z9" s="25">
        <v>93647913</v>
      </c>
      <c r="AA9" s="25">
        <v>92631580</v>
      </c>
      <c r="AB9" s="25">
        <v>91615247</v>
      </c>
      <c r="AC9" s="25">
        <v>90598914</v>
      </c>
      <c r="AD9" s="25">
        <v>89582581</v>
      </c>
      <c r="AE9" s="25">
        <v>88566248</v>
      </c>
      <c r="AF9" s="25">
        <v>87549909</v>
      </c>
    </row>
    <row r="10" spans="1:34">
      <c r="A10" s="12" t="s">
        <v>69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70</v>
      </c>
      <c r="B11" s="24"/>
      <c r="C11" s="26"/>
      <c r="D11" s="26"/>
      <c r="E11" s="26"/>
      <c r="F11" s="26"/>
      <c r="G11" s="32"/>
      <c r="H11" s="32"/>
      <c r="I11" s="32"/>
      <c r="J11" s="32"/>
      <c r="K11" s="32"/>
      <c r="L11" s="32">
        <v>150</v>
      </c>
      <c r="M11" s="32">
        <v>150</v>
      </c>
      <c r="N11" s="32">
        <v>150</v>
      </c>
      <c r="O11" s="32">
        <v>150</v>
      </c>
      <c r="P11" s="32">
        <v>150</v>
      </c>
      <c r="Q11" s="32">
        <v>150</v>
      </c>
      <c r="R11" s="32">
        <v>261</v>
      </c>
      <c r="S11" s="32">
        <v>261</v>
      </c>
      <c r="T11" s="32"/>
      <c r="U11" s="32">
        <v>261</v>
      </c>
      <c r="V11" s="32">
        <v>261</v>
      </c>
      <c r="W11" s="32">
        <v>261</v>
      </c>
      <c r="X11" s="32">
        <v>261</v>
      </c>
      <c r="Y11" s="32">
        <v>261</v>
      </c>
      <c r="Z11" s="32">
        <v>261</v>
      </c>
      <c r="AA11" s="32">
        <v>261</v>
      </c>
      <c r="AB11" s="32">
        <v>261</v>
      </c>
      <c r="AC11" s="32">
        <v>261</v>
      </c>
      <c r="AD11" s="32">
        <v>261</v>
      </c>
      <c r="AE11" s="32"/>
      <c r="AF11" s="32"/>
      <c r="AG11" s="64">
        <v>4032</v>
      </c>
      <c r="AH11" t="s">
        <v>71</v>
      </c>
    </row>
    <row r="12" spans="1:34">
      <c r="A12" s="12" t="s">
        <v>72</v>
      </c>
      <c r="B12" s="26">
        <v>13172.52</v>
      </c>
      <c r="C12" s="26"/>
      <c r="D12" s="26"/>
      <c r="E12" s="26"/>
      <c r="F12" s="26"/>
      <c r="G12" s="32"/>
      <c r="H12" s="32"/>
      <c r="I12" s="32"/>
      <c r="J12" s="32"/>
      <c r="K12" s="32">
        <v>164.51</v>
      </c>
      <c r="L12" s="32">
        <v>6574.17</v>
      </c>
      <c r="M12" s="32">
        <v>4814.93</v>
      </c>
      <c r="N12" s="32">
        <v>1064.92</v>
      </c>
      <c r="O12" s="32">
        <v>3798.17</v>
      </c>
      <c r="P12" s="32">
        <v>1063.21</v>
      </c>
      <c r="Q12" s="32">
        <v>1058.3900000000001</v>
      </c>
      <c r="R12" s="32">
        <v>19266.2</v>
      </c>
      <c r="S12" s="32">
        <v>1161.79</v>
      </c>
      <c r="T12" s="32"/>
      <c r="U12" s="32">
        <v>1016.69</v>
      </c>
      <c r="V12" s="32">
        <v>1016.69</v>
      </c>
      <c r="W12" s="32">
        <v>1016.69</v>
      </c>
      <c r="X12" s="32">
        <v>1646.69</v>
      </c>
      <c r="Y12" s="32">
        <v>1036.69</v>
      </c>
      <c r="Z12" s="32">
        <v>1108.7</v>
      </c>
      <c r="AA12" s="32">
        <v>1102.8399999999999</v>
      </c>
      <c r="AB12" s="32">
        <v>1102.8399999999999</v>
      </c>
      <c r="AC12" s="32">
        <v>1102.8399999999999</v>
      </c>
      <c r="AD12" s="32">
        <v>1102.8399999999999</v>
      </c>
      <c r="AE12" s="32"/>
      <c r="AF12" s="32"/>
      <c r="AG12" s="64">
        <v>9285.11</v>
      </c>
      <c r="AH12" t="s">
        <v>73</v>
      </c>
    </row>
    <row r="13" spans="1:34">
      <c r="A13" s="12" t="s">
        <v>74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18631.13</v>
      </c>
      <c r="AH13" t="s">
        <v>75</v>
      </c>
    </row>
    <row r="14" spans="1:34">
      <c r="A14" s="12" t="s">
        <v>76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11050.05</v>
      </c>
      <c r="AH14" t="s">
        <v>77</v>
      </c>
    </row>
    <row r="15" spans="1:34">
      <c r="A15" s="12" t="s">
        <v>78</v>
      </c>
      <c r="B15" s="29"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v>42998.29</v>
      </c>
      <c r="AH15" t="s">
        <v>79</v>
      </c>
    </row>
    <row r="16" spans="1:34">
      <c r="A16" s="12" t="s">
        <v>80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81</v>
      </c>
      <c r="B17" s="29"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82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83</v>
      </c>
      <c r="B19" s="29"/>
      <c r="C19" s="31">
        <v>0</v>
      </c>
      <c r="D19" s="31">
        <v>0</v>
      </c>
      <c r="E19" s="31">
        <v>0</v>
      </c>
      <c r="F19" s="31">
        <v>0</v>
      </c>
      <c r="G19" s="31"/>
      <c r="H19" s="31">
        <v>0</v>
      </c>
      <c r="I19" s="31">
        <v>0</v>
      </c>
      <c r="J19" s="31">
        <v>0</v>
      </c>
      <c r="K19" s="31">
        <v>-24798.237400000002</v>
      </c>
      <c r="L19" s="31">
        <v>-1063629.2106000001</v>
      </c>
      <c r="M19" s="31">
        <v>-766734.13989999995</v>
      </c>
      <c r="N19" s="31">
        <v>-181837.07639999999</v>
      </c>
      <c r="O19" s="31">
        <v>-590330.37840000005</v>
      </c>
      <c r="P19" s="31">
        <v>-172967.34969999999</v>
      </c>
      <c r="Q19" s="31">
        <v>451983.43070000003</v>
      </c>
      <c r="R19" s="31">
        <v>-2197810.3319999999</v>
      </c>
      <c r="S19" s="31">
        <v>437295.9019</v>
      </c>
      <c r="T19" s="31"/>
      <c r="U19" s="31">
        <v>451383.78519999998</v>
      </c>
      <c r="V19" s="31">
        <v>457405.51280000003</v>
      </c>
      <c r="W19" s="31">
        <v>473442.97100000002</v>
      </c>
      <c r="X19" s="31">
        <v>382539.01530000003</v>
      </c>
      <c r="Y19" s="31">
        <v>477869.65360000002</v>
      </c>
      <c r="Z19" s="31">
        <v>457952.89799999999</v>
      </c>
      <c r="AA19" s="31">
        <v>465273.58960000001</v>
      </c>
      <c r="AB19" s="31">
        <v>477427.26079999999</v>
      </c>
      <c r="AC19" s="31">
        <v>478950.20240000001</v>
      </c>
      <c r="AD19" s="31">
        <v>0</v>
      </c>
      <c r="AE19" s="31">
        <v>0</v>
      </c>
      <c r="AF19" s="31">
        <v>0</v>
      </c>
    </row>
    <row r="20" spans="1:32">
      <c r="A20" s="12" t="s">
        <v>84</v>
      </c>
      <c r="B20" s="29"/>
      <c r="C20" s="33">
        <v>0</v>
      </c>
      <c r="D20" s="33">
        <v>0</v>
      </c>
      <c r="E20" s="33">
        <v>0</v>
      </c>
      <c r="F20" s="33">
        <v>0</v>
      </c>
      <c r="G20" s="33"/>
      <c r="H20" s="33">
        <v>0</v>
      </c>
      <c r="I20" s="33">
        <v>0</v>
      </c>
      <c r="J20" s="33">
        <v>0</v>
      </c>
      <c r="K20" s="33">
        <v>-164.51</v>
      </c>
      <c r="L20" s="33">
        <v>-6724.17</v>
      </c>
      <c r="M20" s="33">
        <v>-4964.93</v>
      </c>
      <c r="N20" s="33">
        <v>-1214.92</v>
      </c>
      <c r="O20" s="33">
        <v>-3948.17</v>
      </c>
      <c r="P20" s="33">
        <v>-1213.21</v>
      </c>
      <c r="Q20" s="33">
        <v>3141.61</v>
      </c>
      <c r="R20" s="33">
        <v>-15177.2</v>
      </c>
      <c r="S20" s="33">
        <v>2927.21</v>
      </c>
      <c r="T20" s="33"/>
      <c r="U20" s="33">
        <v>3072.31</v>
      </c>
      <c r="V20" s="33">
        <v>3072.31</v>
      </c>
      <c r="W20" s="33">
        <v>3072.31</v>
      </c>
      <c r="X20" s="33">
        <v>2442.31</v>
      </c>
      <c r="Y20" s="33">
        <v>3052.31</v>
      </c>
      <c r="Z20" s="33">
        <v>2980.3</v>
      </c>
      <c r="AA20" s="33">
        <v>2986.16</v>
      </c>
      <c r="AB20" s="33">
        <v>2986.16</v>
      </c>
      <c r="AC20" s="33">
        <v>2986.16</v>
      </c>
      <c r="AD20" s="33">
        <v>2986.16</v>
      </c>
      <c r="AE20" s="33">
        <v>0</v>
      </c>
      <c r="AF20" s="33">
        <v>0</v>
      </c>
    </row>
    <row r="21" spans="1:32">
      <c r="A21" s="12" t="s">
        <v>85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86</v>
      </c>
      <c r="B22" s="24"/>
      <c r="C22" s="24"/>
      <c r="D22" s="24"/>
      <c r="E22" s="24"/>
      <c r="F22" s="24"/>
      <c r="G22" s="25"/>
      <c r="H22" s="25"/>
      <c r="I22" s="25"/>
      <c r="J22" s="25"/>
      <c r="K22" s="2"/>
      <c r="L22" s="2"/>
      <c r="M22" s="2"/>
      <c r="N22" s="2"/>
      <c r="O22" s="2"/>
      <c r="P22" s="25"/>
      <c r="Q22" s="25"/>
      <c r="R22" s="25"/>
      <c r="S22" s="25"/>
      <c r="T22" s="25"/>
      <c r="U22" s="25"/>
      <c r="V22" s="25"/>
      <c r="W22" s="25"/>
      <c r="X22" s="2"/>
      <c r="Y22" s="2"/>
      <c r="Z22" s="2"/>
      <c r="AA22" s="2"/>
      <c r="AB22" s="2"/>
      <c r="AC22" s="25"/>
      <c r="AD22" s="25"/>
      <c r="AE22" s="25"/>
      <c r="AF22" s="25"/>
    </row>
    <row r="23" spans="1:32" s="36" customFormat="1">
      <c r="A23" s="35"/>
      <c r="B23" s="7"/>
      <c r="C23" s="7"/>
      <c r="D23" s="7"/>
      <c r="E23" s="7"/>
      <c r="F23" s="7"/>
      <c r="G23" s="2"/>
      <c r="H23" s="2"/>
      <c r="I23" s="2"/>
      <c r="J23" s="2"/>
      <c r="K23" s="2"/>
      <c r="Q23" s="2"/>
      <c r="R23" s="2"/>
      <c r="S23" s="2"/>
      <c r="T23" s="2"/>
      <c r="U23" s="2"/>
      <c r="V23" s="2"/>
      <c r="W23" s="2"/>
      <c r="X23" s="2"/>
      <c r="AD23" s="2"/>
      <c r="AE23" s="2"/>
      <c r="AF23" s="2"/>
    </row>
    <row r="24" spans="1:32" s="36" customFormat="1">
      <c r="A24" s="35" t="s">
        <v>87</v>
      </c>
      <c r="B24" s="68">
        <v>45622</v>
      </c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37" t="s">
        <v>88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23" t="s">
        <v>89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12" t="s">
        <v>61</v>
      </c>
      <c r="B27" s="24">
        <v>120000000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s="36" customFormat="1">
      <c r="A28" s="12" t="s">
        <v>62</v>
      </c>
      <c r="B28" s="24">
        <v>800000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s="36" customFormat="1">
      <c r="A29" s="12" t="s">
        <v>63</v>
      </c>
      <c r="B29" s="24">
        <v>652500</v>
      </c>
      <c r="C29" s="24"/>
      <c r="D29" s="24"/>
      <c r="E29" s="24"/>
      <c r="F29" s="24">
        <v>0</v>
      </c>
      <c r="G29" s="24"/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625834.5</v>
      </c>
      <c r="R29" s="24">
        <v>629923.5</v>
      </c>
      <c r="S29" s="24">
        <v>649846.5</v>
      </c>
      <c r="T29" s="24"/>
      <c r="U29" s="24">
        <v>639102</v>
      </c>
      <c r="V29" s="24">
        <v>647628</v>
      </c>
      <c r="W29" s="24">
        <v>670335</v>
      </c>
      <c r="X29" s="24">
        <v>681340.5</v>
      </c>
      <c r="Y29" s="24">
        <v>681036</v>
      </c>
      <c r="Z29" s="24">
        <v>668421</v>
      </c>
      <c r="AA29" s="24">
        <v>677773.5</v>
      </c>
      <c r="AB29" s="24">
        <v>695478</v>
      </c>
      <c r="AC29" s="24">
        <v>697696.5</v>
      </c>
      <c r="AD29" s="24">
        <v>0</v>
      </c>
      <c r="AE29" s="24">
        <v>0</v>
      </c>
      <c r="AF29" s="24">
        <v>0</v>
      </c>
    </row>
    <row r="30" spans="1:32" s="36" customFormat="1">
      <c r="A30" s="12" t="s">
        <v>64</v>
      </c>
      <c r="B30" s="26">
        <v>150</v>
      </c>
      <c r="C30" s="26">
        <v>156.9</v>
      </c>
      <c r="D30" s="26">
        <v>156.74</v>
      </c>
      <c r="E30" s="26">
        <v>161.07</v>
      </c>
      <c r="F30" s="26">
        <v>152.44</v>
      </c>
      <c r="G30" s="26"/>
      <c r="H30" s="26">
        <v>144.80000000000001</v>
      </c>
      <c r="I30" s="26">
        <v>142.72999999999999</v>
      </c>
      <c r="J30" s="26">
        <v>153.63999999999999</v>
      </c>
      <c r="K30" s="26">
        <v>150.74</v>
      </c>
      <c r="L30" s="26">
        <v>158.18</v>
      </c>
      <c r="M30" s="26">
        <v>154.43</v>
      </c>
      <c r="N30" s="26">
        <v>149.66999999999999</v>
      </c>
      <c r="O30" s="26">
        <v>149.52000000000001</v>
      </c>
      <c r="P30" s="26">
        <v>142.57</v>
      </c>
      <c r="Q30" s="26">
        <v>143.87</v>
      </c>
      <c r="R30" s="26">
        <v>144.81</v>
      </c>
      <c r="S30" s="26">
        <v>149.38999999999999</v>
      </c>
      <c r="T30" s="26"/>
      <c r="U30" s="26">
        <v>146.91999999999999</v>
      </c>
      <c r="V30" s="26">
        <v>148.88</v>
      </c>
      <c r="W30" s="26">
        <v>154.1</v>
      </c>
      <c r="X30" s="26">
        <v>156.63</v>
      </c>
      <c r="Y30" s="26">
        <v>156.56</v>
      </c>
      <c r="Z30" s="26">
        <v>153.66</v>
      </c>
      <c r="AA30" s="26">
        <v>155.81</v>
      </c>
      <c r="AB30" s="26">
        <v>159.88</v>
      </c>
      <c r="AC30" s="26">
        <v>160.38999999999999</v>
      </c>
      <c r="AD30" s="26">
        <v>0</v>
      </c>
      <c r="AE30" s="26">
        <v>0</v>
      </c>
      <c r="AF30" s="26">
        <v>0</v>
      </c>
    </row>
    <row r="31" spans="1:32" s="36" customFormat="1">
      <c r="A31" s="12" t="s">
        <v>65</v>
      </c>
      <c r="B31" s="26">
        <v>4350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>
        <v>4350</v>
      </c>
      <c r="R31" s="26">
        <v>4350</v>
      </c>
      <c r="S31" s="26">
        <v>4350</v>
      </c>
      <c r="T31" s="26"/>
      <c r="U31" s="26">
        <v>4350</v>
      </c>
      <c r="V31" s="26">
        <v>4350</v>
      </c>
      <c r="W31" s="26">
        <v>4350</v>
      </c>
      <c r="X31" s="26">
        <v>4350</v>
      </c>
      <c r="Y31" s="26">
        <v>4350</v>
      </c>
      <c r="Z31" s="26">
        <v>4350</v>
      </c>
      <c r="AA31" s="26">
        <v>4350</v>
      </c>
      <c r="AB31" s="26">
        <v>4350</v>
      </c>
      <c r="AC31" s="26">
        <v>4350</v>
      </c>
      <c r="AD31" s="26">
        <v>4350</v>
      </c>
      <c r="AE31" s="26"/>
      <c r="AF31" s="26"/>
    </row>
    <row r="32" spans="1:32" s="36" customFormat="1">
      <c r="A32" s="12" t="s">
        <v>66</v>
      </c>
      <c r="B32" s="24">
        <v>108892921</v>
      </c>
      <c r="C32" s="24"/>
      <c r="D32" s="24"/>
      <c r="E32" s="24"/>
      <c r="F32" s="24"/>
      <c r="G32" s="25"/>
      <c r="H32" s="25"/>
      <c r="I32" s="25"/>
      <c r="J32" s="25"/>
      <c r="K32" s="25">
        <v>1016333</v>
      </c>
      <c r="L32" s="25">
        <v>1016333</v>
      </c>
      <c r="M32" s="25">
        <v>1016337</v>
      </c>
      <c r="N32" s="25">
        <v>1016333</v>
      </c>
      <c r="O32" s="25">
        <v>1016333</v>
      </c>
      <c r="P32" s="25">
        <v>1016333</v>
      </c>
      <c r="Q32" s="25">
        <v>1016333</v>
      </c>
      <c r="R32" s="25">
        <v>1016333</v>
      </c>
      <c r="S32" s="25">
        <v>1016337</v>
      </c>
      <c r="T32" s="25"/>
      <c r="U32" s="25">
        <v>1016333</v>
      </c>
      <c r="V32" s="25">
        <v>1016333</v>
      </c>
      <c r="W32" s="25">
        <v>1016333</v>
      </c>
      <c r="X32" s="25">
        <v>1016333</v>
      </c>
      <c r="Y32" s="25">
        <v>1016333</v>
      </c>
      <c r="Z32" s="25">
        <v>1016338</v>
      </c>
      <c r="AA32" s="25">
        <v>1016333</v>
      </c>
      <c r="AB32" s="25">
        <v>1016333</v>
      </c>
      <c r="AC32" s="25">
        <v>1016333</v>
      </c>
      <c r="AD32" s="25">
        <v>1016333</v>
      </c>
      <c r="AE32" s="25">
        <v>1016333</v>
      </c>
      <c r="AF32" s="25">
        <v>1016339</v>
      </c>
    </row>
    <row r="33" spans="1:32" s="36" customFormat="1">
      <c r="A33" s="12" t="s">
        <v>67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s="36" customFormat="1">
      <c r="A34" s="12" t="s">
        <v>68</v>
      </c>
      <c r="B34" s="24">
        <v>108892921</v>
      </c>
      <c r="C34" s="24"/>
      <c r="D34" s="24"/>
      <c r="E34" s="24"/>
      <c r="F34" s="24"/>
      <c r="G34" s="25"/>
      <c r="H34" s="25"/>
      <c r="I34" s="25"/>
      <c r="J34" s="25"/>
      <c r="K34" s="25">
        <v>107876588</v>
      </c>
      <c r="L34" s="25">
        <v>106860255</v>
      </c>
      <c r="M34" s="25">
        <v>105843918</v>
      </c>
      <c r="N34" s="25">
        <v>104827585</v>
      </c>
      <c r="O34" s="25">
        <v>103811252</v>
      </c>
      <c r="P34" s="25">
        <v>102794919</v>
      </c>
      <c r="Q34" s="25">
        <v>101778586</v>
      </c>
      <c r="R34" s="25">
        <v>100762253</v>
      </c>
      <c r="S34" s="25">
        <v>99745916</v>
      </c>
      <c r="T34" s="25"/>
      <c r="U34" s="25">
        <v>98729583</v>
      </c>
      <c r="V34" s="25">
        <v>97713250</v>
      </c>
      <c r="W34" s="25">
        <v>96696917</v>
      </c>
      <c r="X34" s="25">
        <v>95680584</v>
      </c>
      <c r="Y34" s="25">
        <v>94664251</v>
      </c>
      <c r="Z34" s="25">
        <v>93647913</v>
      </c>
      <c r="AA34" s="25">
        <v>92631580</v>
      </c>
      <c r="AB34" s="25">
        <v>91615247</v>
      </c>
      <c r="AC34" s="25">
        <v>90598914</v>
      </c>
      <c r="AD34" s="25">
        <v>89582581</v>
      </c>
      <c r="AE34" s="25">
        <v>88566248</v>
      </c>
      <c r="AF34" s="25">
        <v>87549909</v>
      </c>
    </row>
    <row r="35" spans="1:32" s="36" customFormat="1">
      <c r="A35" s="12" t="s">
        <v>69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s="36" customFormat="1">
      <c r="A36" s="12" t="s">
        <v>70</v>
      </c>
      <c r="B36" s="24"/>
      <c r="C36" s="26"/>
      <c r="D36" s="26"/>
      <c r="E36" s="26"/>
      <c r="F36" s="26"/>
      <c r="G36" s="32"/>
      <c r="H36" s="32"/>
      <c r="I36" s="32"/>
      <c r="J36" s="32"/>
      <c r="K36" s="32"/>
      <c r="L36" s="32">
        <v>150</v>
      </c>
      <c r="M36" s="32">
        <v>150</v>
      </c>
      <c r="N36" s="32">
        <v>150</v>
      </c>
      <c r="O36" s="32">
        <v>150</v>
      </c>
      <c r="P36" s="32">
        <v>150</v>
      </c>
      <c r="Q36" s="32">
        <v>150</v>
      </c>
      <c r="R36" s="32">
        <v>261</v>
      </c>
      <c r="S36" s="32">
        <v>261</v>
      </c>
      <c r="T36" s="32"/>
      <c r="U36" s="32">
        <v>261</v>
      </c>
      <c r="V36" s="32">
        <v>261</v>
      </c>
      <c r="W36" s="32">
        <v>261</v>
      </c>
      <c r="X36" s="32">
        <v>261</v>
      </c>
      <c r="Y36" s="32">
        <v>261</v>
      </c>
      <c r="Z36" s="32">
        <v>261</v>
      </c>
      <c r="AA36" s="32">
        <v>261</v>
      </c>
      <c r="AB36" s="32">
        <v>261</v>
      </c>
      <c r="AC36" s="32">
        <v>261</v>
      </c>
      <c r="AD36" s="32">
        <v>261</v>
      </c>
      <c r="AE36" s="32"/>
      <c r="AF36" s="32"/>
    </row>
    <row r="37" spans="1:32" s="36" customFormat="1">
      <c r="A37" s="12" t="s">
        <v>72</v>
      </c>
      <c r="B37" s="26">
        <v>13172.52</v>
      </c>
      <c r="C37" s="26"/>
      <c r="D37" s="26"/>
      <c r="E37" s="26"/>
      <c r="F37" s="26"/>
      <c r="G37" s="32"/>
      <c r="H37" s="32"/>
      <c r="I37" s="32"/>
      <c r="J37" s="32"/>
      <c r="K37" s="32">
        <v>164.51</v>
      </c>
      <c r="L37" s="32">
        <v>6574.17</v>
      </c>
      <c r="M37" s="32">
        <v>2989.57</v>
      </c>
      <c r="N37" s="32">
        <v>1977.6</v>
      </c>
      <c r="O37" s="32">
        <v>1972.81</v>
      </c>
      <c r="P37" s="32">
        <v>1975.89</v>
      </c>
      <c r="Q37" s="32">
        <v>1971.07</v>
      </c>
      <c r="R37" s="32">
        <v>8120.09</v>
      </c>
      <c r="S37" s="32">
        <v>2258.0500000000002</v>
      </c>
      <c r="T37" s="32"/>
      <c r="U37" s="32">
        <v>2112.9499999999998</v>
      </c>
      <c r="V37" s="32">
        <v>2112.9499999999998</v>
      </c>
      <c r="W37" s="32">
        <v>2112.9499999999998</v>
      </c>
      <c r="X37" s="32">
        <v>2742.94</v>
      </c>
      <c r="Y37" s="32">
        <v>2132.94</v>
      </c>
      <c r="Z37" s="32">
        <v>2204.9499999999998</v>
      </c>
      <c r="AA37" s="32">
        <v>2199.09</v>
      </c>
      <c r="AB37" s="32">
        <v>2199.09</v>
      </c>
      <c r="AC37" s="32">
        <v>1096.25</v>
      </c>
      <c r="AD37" s="32">
        <v>1096.25</v>
      </c>
      <c r="AE37" s="32"/>
      <c r="AF37" s="32"/>
    </row>
    <row r="38" spans="1:32" s="36" customFormat="1">
      <c r="A38" s="12" t="s">
        <v>74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s="36" customFormat="1">
      <c r="A39" s="12" t="s">
        <v>76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s="36" customFormat="1">
      <c r="A40" s="12" t="s">
        <v>78</v>
      </c>
      <c r="B40" s="29"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36" customFormat="1">
      <c r="A41" s="12" t="s">
        <v>80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36" customFormat="1">
      <c r="A42" s="12" t="s">
        <v>81</v>
      </c>
      <c r="B42" s="29"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36" customFormat="1">
      <c r="A43" s="12" t="s">
        <v>82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36" customFormat="1">
      <c r="A44" s="12" t="s">
        <v>83</v>
      </c>
      <c r="B44" s="29"/>
      <c r="C44" s="31">
        <v>0</v>
      </c>
      <c r="D44" s="31">
        <v>0</v>
      </c>
      <c r="E44" s="31">
        <v>0</v>
      </c>
      <c r="F44" s="31">
        <v>0</v>
      </c>
      <c r="G44" s="31"/>
      <c r="H44" s="31">
        <v>0</v>
      </c>
      <c r="I44" s="31">
        <v>0</v>
      </c>
      <c r="J44" s="31">
        <v>0</v>
      </c>
      <c r="K44" s="31">
        <v>-24798.237400000002</v>
      </c>
      <c r="L44" s="31">
        <v>-1063629.2106000001</v>
      </c>
      <c r="M44" s="31">
        <v>-484843.79509999999</v>
      </c>
      <c r="N44" s="31">
        <v>-318437.89199999999</v>
      </c>
      <c r="O44" s="31">
        <v>-317402.55119999999</v>
      </c>
      <c r="P44" s="31">
        <v>-303088.1373</v>
      </c>
      <c r="Q44" s="31">
        <v>320676.15909999999</v>
      </c>
      <c r="R44" s="31">
        <v>-583742.14289999998</v>
      </c>
      <c r="S44" s="31">
        <v>273525.62050000002</v>
      </c>
      <c r="T44" s="31"/>
      <c r="U44" s="31">
        <v>290321.266</v>
      </c>
      <c r="V44" s="31">
        <v>294194.32400000002</v>
      </c>
      <c r="W44" s="31">
        <v>304509.30499999999</v>
      </c>
      <c r="X44" s="31">
        <v>210833.37779999999</v>
      </c>
      <c r="Y44" s="31">
        <v>306240.7536</v>
      </c>
      <c r="Z44" s="31">
        <v>289503.12300000002</v>
      </c>
      <c r="AA44" s="31">
        <v>294466.87709999998</v>
      </c>
      <c r="AB44" s="31">
        <v>302158.81079999998</v>
      </c>
      <c r="AC44" s="31">
        <v>480007.17249999999</v>
      </c>
      <c r="AD44" s="31">
        <v>0</v>
      </c>
      <c r="AE44" s="31">
        <v>0</v>
      </c>
      <c r="AF44" s="31">
        <v>0</v>
      </c>
    </row>
    <row r="45" spans="1:32" s="36" customFormat="1">
      <c r="A45" s="12" t="s">
        <v>84</v>
      </c>
      <c r="B45" s="29"/>
      <c r="C45" s="33">
        <v>0</v>
      </c>
      <c r="D45" s="33">
        <v>0</v>
      </c>
      <c r="E45" s="33">
        <v>0</v>
      </c>
      <c r="F45" s="33">
        <v>0</v>
      </c>
      <c r="G45" s="33"/>
      <c r="H45" s="33">
        <v>0</v>
      </c>
      <c r="I45" s="33">
        <v>0</v>
      </c>
      <c r="J45" s="33">
        <v>0</v>
      </c>
      <c r="K45" s="33">
        <v>-164.51</v>
      </c>
      <c r="L45" s="33">
        <v>-6724.17</v>
      </c>
      <c r="M45" s="33">
        <v>-3139.57</v>
      </c>
      <c r="N45" s="33">
        <v>-2127.6</v>
      </c>
      <c r="O45" s="33">
        <v>-2122.81</v>
      </c>
      <c r="P45" s="33">
        <v>-2125.89</v>
      </c>
      <c r="Q45" s="33">
        <v>2228.9299999999998</v>
      </c>
      <c r="R45" s="33">
        <v>-4031.09</v>
      </c>
      <c r="S45" s="33">
        <v>1830.95</v>
      </c>
      <c r="T45" s="33"/>
      <c r="U45" s="33">
        <v>1976.05</v>
      </c>
      <c r="V45" s="33">
        <v>1976.05</v>
      </c>
      <c r="W45" s="33">
        <v>1976.05</v>
      </c>
      <c r="X45" s="33">
        <v>1346.06</v>
      </c>
      <c r="Y45" s="33">
        <v>1956.06</v>
      </c>
      <c r="Z45" s="33">
        <v>1884.05</v>
      </c>
      <c r="AA45" s="33">
        <v>1889.91</v>
      </c>
      <c r="AB45" s="33">
        <v>1889.91</v>
      </c>
      <c r="AC45" s="33">
        <v>2992.75</v>
      </c>
      <c r="AD45" s="33">
        <v>2992.75</v>
      </c>
      <c r="AE45" s="33">
        <v>0</v>
      </c>
      <c r="AF45" s="33">
        <v>0</v>
      </c>
    </row>
    <row r="46" spans="1:32" s="36" customFormat="1">
      <c r="A46" s="12" t="s">
        <v>85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s="36" customFormat="1">
      <c r="A47" s="12" t="s">
        <v>86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spans="1:32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3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23" s="36" customFormat="1">
      <c r="A50" s="35"/>
      <c r="B50" s="35"/>
      <c r="C50" s="35"/>
      <c r="D50" s="35"/>
      <c r="E50" s="35"/>
      <c r="F50" s="35"/>
    </row>
    <row r="51" spans="1:23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3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23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  <c r="Q53" s="51">
        <v>1096.26</v>
      </c>
      <c r="R53" s="52">
        <v>13155.05</v>
      </c>
      <c r="S53" s="2"/>
    </row>
    <row r="54" spans="1:23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>
        <v>2</v>
      </c>
      <c r="Q54" s="51">
        <v>1096.26</v>
      </c>
      <c r="R54" s="53">
        <v>1096.25416666667</v>
      </c>
      <c r="S54" s="3"/>
    </row>
    <row r="55" spans="1:23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>
        <v>3</v>
      </c>
      <c r="Q55" s="51">
        <v>1096.26</v>
      </c>
      <c r="R55" s="3">
        <v>91.354513888888903</v>
      </c>
      <c r="S55" s="2"/>
    </row>
    <row r="56" spans="1:23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2">
        <v>4</v>
      </c>
      <c r="Q56" s="51">
        <v>1096.26</v>
      </c>
      <c r="R56" s="3">
        <v>7.6128761574074097</v>
      </c>
      <c r="S56" s="4"/>
    </row>
    <row r="57" spans="1:23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3">
        <v>5</v>
      </c>
      <c r="Q57" s="51">
        <v>1096.26</v>
      </c>
      <c r="R57" s="4"/>
      <c r="S57" s="4"/>
    </row>
    <row r="58" spans="1:23" s="36" customFormat="1">
      <c r="A58" s="35"/>
      <c r="B58" s="35"/>
      <c r="C58" s="35"/>
      <c r="D58" s="35"/>
      <c r="E58" s="35"/>
      <c r="F58" s="35"/>
      <c r="P58" s="2">
        <v>6</v>
      </c>
      <c r="Q58" s="51">
        <v>1096.25</v>
      </c>
    </row>
    <row r="59" spans="1:23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>
        <v>7</v>
      </c>
      <c r="Q59" s="51">
        <v>1096.25</v>
      </c>
      <c r="R59" s="2"/>
      <c r="S59" s="2"/>
      <c r="T59" s="2"/>
      <c r="U59" s="2"/>
      <c r="V59" s="2"/>
      <c r="W59" s="2"/>
    </row>
    <row r="60" spans="1:23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3">
        <v>8</v>
      </c>
      <c r="Q60" s="51">
        <v>1096.25</v>
      </c>
      <c r="R60" s="2"/>
      <c r="S60" s="2"/>
    </row>
    <row r="61" spans="1:23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>
        <v>9</v>
      </c>
      <c r="Q61" s="51">
        <v>1096.25</v>
      </c>
      <c r="R61" s="2"/>
      <c r="S61" s="2"/>
    </row>
    <row r="62" spans="1:23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2">
        <v>10</v>
      </c>
      <c r="Q62" s="51">
        <v>1096.25</v>
      </c>
      <c r="R62" s="3"/>
      <c r="S62" s="3"/>
    </row>
    <row r="63" spans="1:23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3">
        <v>11</v>
      </c>
      <c r="Q63" s="51">
        <v>1096.25</v>
      </c>
      <c r="R63" s="2"/>
      <c r="S63" s="2"/>
    </row>
    <row r="64" spans="1:23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2">
        <v>12</v>
      </c>
      <c r="Q64" s="51">
        <v>1096.25</v>
      </c>
      <c r="R64" s="4"/>
      <c r="S64" s="4"/>
    </row>
    <row r="65" spans="1:25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54">
        <v>13155.05</v>
      </c>
      <c r="R65" s="4"/>
      <c r="S65" s="4"/>
    </row>
    <row r="66" spans="1:25" s="36" customFormat="1">
      <c r="A66" s="35"/>
      <c r="B66" s="35"/>
      <c r="C66" s="35"/>
      <c r="D66" s="35"/>
      <c r="E66" s="35"/>
      <c r="F66" s="35"/>
    </row>
    <row r="67" spans="1:25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25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25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25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25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25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25" s="36" customFormat="1">
      <c r="A74" s="35"/>
      <c r="B74" s="35"/>
      <c r="C74" s="35"/>
      <c r="D74" s="35"/>
      <c r="E74" s="35"/>
      <c r="F74" s="35"/>
    </row>
    <row r="75" spans="1:25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25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25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5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5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6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26" s="36" customFormat="1">
      <c r="A82" s="35"/>
    </row>
    <row r="83" spans="1:26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6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26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26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26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6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6" s="36" customFormat="1">
      <c r="A90" s="35"/>
    </row>
    <row r="91" spans="1:26" s="36" customFormat="1">
      <c r="A91" s="35"/>
    </row>
    <row r="92" spans="1:26" s="36" customFormat="1">
      <c r="A92" s="35"/>
    </row>
    <row r="93" spans="1:26" s="36" customFormat="1">
      <c r="A93" s="35"/>
    </row>
    <row r="94" spans="1:26" s="36" customFormat="1">
      <c r="A94" s="35"/>
    </row>
    <row r="95" spans="1:26" s="36" customFormat="1">
      <c r="A95" s="35"/>
    </row>
    <row r="96" spans="1:26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FDFF-9792-4CCE-AF7A-08C3DE3F5B85}">
  <dimension ref="A1:AH106"/>
  <sheetViews>
    <sheetView zoomScale="90" zoomScaleNormal="90" workbookViewId="0">
      <pane xSplit="1" ySplit="1" topLeftCell="M2" activePane="bottomRight" state="frozen"/>
      <selection pane="bottomRight" activeCell="AC44" sqref="AC44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2.12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1.5" bestFit="1" customWidth="1"/>
    <col min="23" max="24" width="11.25" bestFit="1" customWidth="1"/>
    <col min="25" max="32" width="11.5" bestFit="1" customWidth="1"/>
    <col min="33" max="33" width="9.375" bestFit="1" customWidth="1"/>
  </cols>
  <sheetData>
    <row r="1" spans="1:34">
      <c r="A1" s="23" t="s">
        <v>90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B3*B5</f>
        <v>147750000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6">
        <v>985000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4">
      <c r="A4" s="12" t="s">
        <v>3</v>
      </c>
      <c r="B4" s="24">
        <f>B5*B6</f>
        <v>630000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627984</v>
      </c>
      <c r="P4" s="24">
        <f t="shared" si="0"/>
        <v>598794</v>
      </c>
      <c r="Q4" s="24">
        <f t="shared" si="0"/>
        <v>604254</v>
      </c>
      <c r="R4" s="24">
        <f t="shared" si="0"/>
        <v>608202</v>
      </c>
      <c r="S4" s="24">
        <f t="shared" si="0"/>
        <v>627438</v>
      </c>
      <c r="T4" s="24"/>
      <c r="U4" s="24">
        <f t="shared" ref="U4:AF4" si="1">U5*U6</f>
        <v>617064</v>
      </c>
      <c r="V4" s="24">
        <f t="shared" si="1"/>
        <v>625296</v>
      </c>
      <c r="W4" s="24">
        <f t="shared" si="1"/>
        <v>647220</v>
      </c>
      <c r="X4" s="24">
        <f t="shared" si="1"/>
        <v>657846</v>
      </c>
      <c r="Y4" s="24">
        <f t="shared" si="1"/>
        <v>657552</v>
      </c>
      <c r="Z4" s="24">
        <f t="shared" si="1"/>
        <v>645372</v>
      </c>
      <c r="AA4" s="24">
        <f t="shared" si="1"/>
        <v>654402</v>
      </c>
      <c r="AB4" s="24">
        <f t="shared" si="1"/>
        <v>671496</v>
      </c>
      <c r="AC4" s="24">
        <f t="shared" si="1"/>
        <v>673638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4200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4200</v>
      </c>
      <c r="P6" s="26">
        <v>4200</v>
      </c>
      <c r="Q6" s="26">
        <v>4200</v>
      </c>
      <c r="R6" s="26">
        <v>4200</v>
      </c>
      <c r="S6" s="26">
        <v>4200</v>
      </c>
      <c r="T6" s="26"/>
      <c r="U6" s="26">
        <v>4200</v>
      </c>
      <c r="V6" s="26">
        <v>4200</v>
      </c>
      <c r="W6" s="26">
        <v>4200</v>
      </c>
      <c r="X6" s="26">
        <v>4200</v>
      </c>
      <c r="Y6" s="26">
        <v>4200</v>
      </c>
      <c r="Z6" s="26">
        <v>4200</v>
      </c>
      <c r="AA6" s="26">
        <v>4200</v>
      </c>
      <c r="AB6" s="26">
        <v>4200</v>
      </c>
      <c r="AC6" s="26">
        <v>4200</v>
      </c>
      <c r="AD6" s="26"/>
      <c r="AE6" s="26"/>
      <c r="AF6" s="26"/>
    </row>
    <row r="7" spans="1:34">
      <c r="A7" s="12" t="s">
        <v>7</v>
      </c>
      <c r="B7" s="24">
        <v>136145429</v>
      </c>
      <c r="C7" s="24"/>
      <c r="D7" s="24"/>
      <c r="E7" s="24"/>
      <c r="F7" s="24"/>
      <c r="G7" s="25"/>
      <c r="H7" s="24"/>
      <c r="I7" s="24"/>
      <c r="J7" s="24"/>
      <c r="K7" s="24"/>
      <c r="L7" s="24">
        <v>1270690</v>
      </c>
      <c r="M7" s="24">
        <v>1270692</v>
      </c>
      <c r="N7" s="24">
        <v>1270690</v>
      </c>
      <c r="O7" s="24">
        <v>1270690</v>
      </c>
      <c r="P7" s="24">
        <v>1270690</v>
      </c>
      <c r="Q7" s="24">
        <v>1270690</v>
      </c>
      <c r="R7" s="24">
        <v>1270690</v>
      </c>
      <c r="S7" s="24">
        <v>1270693</v>
      </c>
      <c r="T7" s="25"/>
      <c r="U7" s="24">
        <v>1270690</v>
      </c>
      <c r="V7" s="24">
        <v>1270690</v>
      </c>
      <c r="W7" s="24">
        <v>1270690</v>
      </c>
      <c r="X7" s="24">
        <v>1270690</v>
      </c>
      <c r="Y7" s="24">
        <v>1270690</v>
      </c>
      <c r="Z7" s="24">
        <v>1270694</v>
      </c>
      <c r="AA7" s="24">
        <v>1270690</v>
      </c>
      <c r="AB7" s="24">
        <v>1270690</v>
      </c>
      <c r="AC7" s="24">
        <v>1270690</v>
      </c>
      <c r="AD7" s="24">
        <v>1270690</v>
      </c>
      <c r="AE7" s="24">
        <v>1270690</v>
      </c>
      <c r="AF7" s="24">
        <v>1270694</v>
      </c>
    </row>
    <row r="8" spans="1:34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4">
      <c r="A9" s="12" t="s">
        <v>9</v>
      </c>
      <c r="B9" s="24">
        <v>136145429</v>
      </c>
      <c r="C9" s="24"/>
      <c r="D9" s="24"/>
      <c r="E9" s="24"/>
      <c r="F9" s="24"/>
      <c r="G9" s="25"/>
      <c r="H9" s="24"/>
      <c r="I9" s="24"/>
      <c r="J9" s="24"/>
      <c r="K9" s="24"/>
      <c r="L9" s="24">
        <f>B9-L7</f>
        <v>134874739</v>
      </c>
      <c r="M9" s="24">
        <f t="shared" ref="M9:S9" si="2">L9-M7</f>
        <v>133604047</v>
      </c>
      <c r="N9" s="24">
        <f t="shared" si="2"/>
        <v>132333357</v>
      </c>
      <c r="O9" s="24">
        <f t="shared" si="2"/>
        <v>131062667</v>
      </c>
      <c r="P9" s="24">
        <f t="shared" si="2"/>
        <v>129791977</v>
      </c>
      <c r="Q9" s="24">
        <f t="shared" si="2"/>
        <v>128521287</v>
      </c>
      <c r="R9" s="24">
        <f t="shared" si="2"/>
        <v>127250597</v>
      </c>
      <c r="S9" s="24">
        <f t="shared" si="2"/>
        <v>125979904</v>
      </c>
      <c r="T9" s="25"/>
      <c r="U9" s="24">
        <f>S9-U7</f>
        <v>124709214</v>
      </c>
      <c r="V9" s="24">
        <f>U9-V7</f>
        <v>123438524</v>
      </c>
      <c r="W9" s="24">
        <f t="shared" ref="W9:AF9" si="3">V9-W7</f>
        <v>122167834</v>
      </c>
      <c r="X9" s="24">
        <f t="shared" si="3"/>
        <v>120897144</v>
      </c>
      <c r="Y9" s="24">
        <f t="shared" si="3"/>
        <v>119626454</v>
      </c>
      <c r="Z9" s="24">
        <f t="shared" si="3"/>
        <v>118355760</v>
      </c>
      <c r="AA9" s="24">
        <f t="shared" si="3"/>
        <v>117085070</v>
      </c>
      <c r="AB9" s="24">
        <f t="shared" si="3"/>
        <v>115814380</v>
      </c>
      <c r="AC9" s="24">
        <f t="shared" si="3"/>
        <v>114543690</v>
      </c>
      <c r="AD9" s="24">
        <f t="shared" si="3"/>
        <v>113273000</v>
      </c>
      <c r="AE9" s="24">
        <f t="shared" si="3"/>
        <v>112002310</v>
      </c>
      <c r="AF9" s="24">
        <f t="shared" si="3"/>
        <v>110731616</v>
      </c>
    </row>
    <row r="10" spans="1:34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4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>
        <v>45.16</v>
      </c>
      <c r="M11" s="26">
        <v>100</v>
      </c>
      <c r="N11" s="26">
        <v>100</v>
      </c>
      <c r="O11" s="26">
        <v>252</v>
      </c>
      <c r="P11" s="26">
        <v>252</v>
      </c>
      <c r="Q11" s="26">
        <v>252</v>
      </c>
      <c r="R11" s="26">
        <v>252</v>
      </c>
      <c r="S11" s="26">
        <v>252</v>
      </c>
      <c r="T11" s="26"/>
      <c r="U11" s="26">
        <v>252</v>
      </c>
      <c r="V11" s="26">
        <v>252</v>
      </c>
      <c r="W11" s="26">
        <v>252</v>
      </c>
      <c r="X11" s="26">
        <v>252</v>
      </c>
      <c r="Y11" s="26">
        <v>252</v>
      </c>
      <c r="Z11" s="26">
        <v>252</v>
      </c>
      <c r="AA11" s="26">
        <v>252</v>
      </c>
      <c r="AB11" s="26">
        <v>252</v>
      </c>
      <c r="AC11" s="26">
        <v>252</v>
      </c>
      <c r="AD11" s="26"/>
      <c r="AE11" s="26"/>
      <c r="AF11" s="26"/>
      <c r="AG11" s="64">
        <f>SUM(C36:AF36)</f>
        <v>3773.16</v>
      </c>
      <c r="AH11" t="s">
        <v>26</v>
      </c>
    </row>
    <row r="12" spans="1:34">
      <c r="A12" s="12" t="s">
        <v>12</v>
      </c>
      <c r="B12" s="26">
        <v>41357.25</v>
      </c>
      <c r="C12" s="26"/>
      <c r="D12" s="26"/>
      <c r="E12" s="26"/>
      <c r="F12" s="26"/>
      <c r="G12" s="26"/>
      <c r="H12" s="26"/>
      <c r="I12" s="26"/>
      <c r="J12" s="26"/>
      <c r="K12" s="26"/>
      <c r="L12" s="26">
        <v>1133.94</v>
      </c>
      <c r="M12" s="26">
        <v>732.8</v>
      </c>
      <c r="N12" s="26">
        <v>2756.18</v>
      </c>
      <c r="O12" s="26">
        <v>8682.91</v>
      </c>
      <c r="P12" s="26">
        <v>1981.8</v>
      </c>
      <c r="Q12" s="26">
        <v>1981.8</v>
      </c>
      <c r="R12" s="26">
        <v>14320.68</v>
      </c>
      <c r="S12" s="26">
        <v>1981.8</v>
      </c>
      <c r="T12" s="26"/>
      <c r="U12" s="26">
        <v>732.8</v>
      </c>
      <c r="V12" s="26">
        <v>732.8</v>
      </c>
      <c r="W12" s="26">
        <v>732.8</v>
      </c>
      <c r="X12" s="26">
        <v>732.8</v>
      </c>
      <c r="Y12" s="26">
        <v>1542.8</v>
      </c>
      <c r="Z12" s="26">
        <v>1620.74</v>
      </c>
      <c r="AA12" s="26">
        <v>798.75</v>
      </c>
      <c r="AB12" s="26">
        <v>798.75</v>
      </c>
      <c r="AC12" s="26">
        <v>798.75</v>
      </c>
      <c r="AD12" s="26"/>
      <c r="AE12" s="26"/>
      <c r="AF12" s="26"/>
      <c r="AG12" s="64">
        <v>5460.54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15436.6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12674.77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37345.070000000007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4">SUM(D5*D20)</f>
        <v>0</v>
      </c>
      <c r="E19" s="31">
        <f t="shared" si="4"/>
        <v>0</v>
      </c>
      <c r="F19" s="31">
        <f t="shared" si="4"/>
        <v>0</v>
      </c>
      <c r="G19" s="31"/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-186510.03800000003</v>
      </c>
      <c r="M19" s="31">
        <f t="shared" si="4"/>
        <v>-128609.304</v>
      </c>
      <c r="N19" s="31">
        <f t="shared" si="4"/>
        <v>-427484.46059999993</v>
      </c>
      <c r="O19" s="31">
        <f t="shared" si="4"/>
        <v>-707963.74320000003</v>
      </c>
      <c r="P19" s="31">
        <f t="shared" si="4"/>
        <v>280321.13400000002</v>
      </c>
      <c r="Q19" s="31">
        <f t="shared" si="4"/>
        <v>282877.19400000002</v>
      </c>
      <c r="R19" s="31">
        <f t="shared" si="4"/>
        <v>-1502067.7908000001</v>
      </c>
      <c r="S19" s="31">
        <f t="shared" si="4"/>
        <v>293730.61799999996</v>
      </c>
      <c r="T19" s="31"/>
      <c r="U19" s="31">
        <f t="shared" ref="U19:AF19" si="5">SUM(U5*U20)</f>
        <v>472377.18399999995</v>
      </c>
      <c r="V19" s="31">
        <f t="shared" si="5"/>
        <v>478678.97599999997</v>
      </c>
      <c r="W19" s="31">
        <f t="shared" si="5"/>
        <v>495462.31999999995</v>
      </c>
      <c r="X19" s="31">
        <f t="shared" si="5"/>
        <v>503596.77599999995</v>
      </c>
      <c r="Y19" s="31">
        <f t="shared" si="5"/>
        <v>376558.11199999996</v>
      </c>
      <c r="Z19" s="31">
        <f t="shared" si="5"/>
        <v>357606.77160000004</v>
      </c>
      <c r="AA19" s="31">
        <f t="shared" si="5"/>
        <v>490684.64250000002</v>
      </c>
      <c r="AB19" s="31">
        <f t="shared" si="5"/>
        <v>503502.08999999997</v>
      </c>
      <c r="AC19" s="31">
        <f t="shared" si="5"/>
        <v>505108.20749999996</v>
      </c>
      <c r="AD19" s="31">
        <f t="shared" si="5"/>
        <v>0</v>
      </c>
      <c r="AE19" s="31">
        <f t="shared" si="5"/>
        <v>0</v>
      </c>
      <c r="AF19" s="31">
        <f t="shared" si="5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6">SUM(D6-D11-D12)</f>
        <v>0</v>
      </c>
      <c r="E20" s="33">
        <f t="shared" si="6"/>
        <v>0</v>
      </c>
      <c r="F20" s="33">
        <f t="shared" si="6"/>
        <v>0</v>
      </c>
      <c r="G20" s="33"/>
      <c r="H20" s="33">
        <f t="shared" si="6"/>
        <v>0</v>
      </c>
      <c r="I20" s="33">
        <f t="shared" si="6"/>
        <v>0</v>
      </c>
      <c r="J20" s="33">
        <f t="shared" si="6"/>
        <v>0</v>
      </c>
      <c r="K20" s="33">
        <f t="shared" si="6"/>
        <v>0</v>
      </c>
      <c r="L20" s="33">
        <f t="shared" si="6"/>
        <v>-1179.1000000000001</v>
      </c>
      <c r="M20" s="33">
        <f t="shared" si="6"/>
        <v>-832.8</v>
      </c>
      <c r="N20" s="33">
        <f t="shared" si="6"/>
        <v>-2856.18</v>
      </c>
      <c r="O20" s="33">
        <f t="shared" si="6"/>
        <v>-4734.91</v>
      </c>
      <c r="P20" s="33">
        <f t="shared" si="6"/>
        <v>1966.2</v>
      </c>
      <c r="Q20" s="33">
        <f t="shared" si="6"/>
        <v>1966.2</v>
      </c>
      <c r="R20" s="33">
        <f t="shared" si="6"/>
        <v>-10372.68</v>
      </c>
      <c r="S20" s="33">
        <f t="shared" si="6"/>
        <v>1966.2</v>
      </c>
      <c r="T20" s="33"/>
      <c r="U20" s="33">
        <f t="shared" ref="U20:AF20" si="7">SUM(U6-U11-U12)</f>
        <v>3215.2</v>
      </c>
      <c r="V20" s="33">
        <f t="shared" si="7"/>
        <v>3215.2</v>
      </c>
      <c r="W20" s="33">
        <f t="shared" si="7"/>
        <v>3215.2</v>
      </c>
      <c r="X20" s="33">
        <f t="shared" si="7"/>
        <v>3215.2</v>
      </c>
      <c r="Y20" s="33">
        <f t="shared" si="7"/>
        <v>2405.1999999999998</v>
      </c>
      <c r="Z20" s="33">
        <f t="shared" si="7"/>
        <v>2327.2600000000002</v>
      </c>
      <c r="AA20" s="33">
        <f t="shared" si="7"/>
        <v>3149.25</v>
      </c>
      <c r="AB20" s="33">
        <f t="shared" si="7"/>
        <v>3149.25</v>
      </c>
      <c r="AC20" s="33">
        <f t="shared" si="7"/>
        <v>3149.25</v>
      </c>
      <c r="AD20" s="33">
        <f t="shared" si="7"/>
        <v>0</v>
      </c>
      <c r="AE20" s="33">
        <f t="shared" si="7"/>
        <v>0</v>
      </c>
      <c r="AF20" s="33">
        <f t="shared" si="7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spans="1:32" s="36" customFormat="1">
      <c r="A23" s="35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36" customFormat="1">
      <c r="A24" s="35" t="s">
        <v>23</v>
      </c>
      <c r="B24" s="68">
        <v>45644</v>
      </c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23" t="s">
        <v>90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12" t="s">
        <v>1</v>
      </c>
      <c r="B27" s="24">
        <f>B28*B30</f>
        <v>147750000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s="36" customFormat="1">
      <c r="A28" s="12" t="s">
        <v>2</v>
      </c>
      <c r="B28" s="26">
        <v>985000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 s="36" customFormat="1">
      <c r="A29" s="12" t="s">
        <v>3</v>
      </c>
      <c r="B29" s="24">
        <f>B30*B31</f>
        <v>630000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8">H30*H31</f>
        <v>0</v>
      </c>
      <c r="I29" s="24">
        <f t="shared" si="8"/>
        <v>0</v>
      </c>
      <c r="J29" s="24">
        <f t="shared" si="8"/>
        <v>0</v>
      </c>
      <c r="K29" s="24">
        <f t="shared" si="8"/>
        <v>0</v>
      </c>
      <c r="L29" s="24">
        <f t="shared" si="8"/>
        <v>0</v>
      </c>
      <c r="M29" s="24">
        <f t="shared" si="8"/>
        <v>0</v>
      </c>
      <c r="N29" s="24">
        <f t="shared" si="8"/>
        <v>0</v>
      </c>
      <c r="O29" s="24">
        <f t="shared" si="8"/>
        <v>627984</v>
      </c>
      <c r="P29" s="24">
        <f t="shared" si="8"/>
        <v>598794</v>
      </c>
      <c r="Q29" s="24">
        <f t="shared" si="8"/>
        <v>604254</v>
      </c>
      <c r="R29" s="24">
        <f t="shared" si="8"/>
        <v>608202</v>
      </c>
      <c r="S29" s="24">
        <f t="shared" si="8"/>
        <v>627438</v>
      </c>
      <c r="T29" s="24"/>
      <c r="U29" s="24">
        <f t="shared" ref="U29:AF29" si="9">U30*U31</f>
        <v>617064</v>
      </c>
      <c r="V29" s="24">
        <f t="shared" si="9"/>
        <v>625296</v>
      </c>
      <c r="W29" s="24">
        <f t="shared" si="9"/>
        <v>647220</v>
      </c>
      <c r="X29" s="24">
        <f t="shared" si="9"/>
        <v>657846</v>
      </c>
      <c r="Y29" s="24">
        <f t="shared" si="9"/>
        <v>657552</v>
      </c>
      <c r="Z29" s="24">
        <f t="shared" si="9"/>
        <v>645372</v>
      </c>
      <c r="AA29" s="24">
        <f t="shared" si="9"/>
        <v>654402</v>
      </c>
      <c r="AB29" s="24">
        <f t="shared" si="9"/>
        <v>671496</v>
      </c>
      <c r="AC29" s="24">
        <f t="shared" si="9"/>
        <v>673638</v>
      </c>
      <c r="AD29" s="24">
        <f t="shared" si="9"/>
        <v>0</v>
      </c>
      <c r="AE29" s="24">
        <f t="shared" si="9"/>
        <v>0</v>
      </c>
      <c r="AF29" s="24">
        <f t="shared" si="9"/>
        <v>0</v>
      </c>
    </row>
    <row r="30" spans="1:32" s="36" customFormat="1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66" customFormat="1">
      <c r="A31" s="63" t="s">
        <v>6</v>
      </c>
      <c r="B31" s="26">
        <v>4200</v>
      </c>
      <c r="C31" s="26">
        <v>0</v>
      </c>
      <c r="D31" s="26">
        <v>0</v>
      </c>
      <c r="E31" s="26">
        <v>0</v>
      </c>
      <c r="F31" s="26">
        <v>0</v>
      </c>
      <c r="G31" s="26"/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4200</v>
      </c>
      <c r="P31" s="26">
        <v>4200</v>
      </c>
      <c r="Q31" s="26">
        <v>4200</v>
      </c>
      <c r="R31" s="26">
        <v>4200</v>
      </c>
      <c r="S31" s="26">
        <v>4200</v>
      </c>
      <c r="T31" s="26"/>
      <c r="U31" s="26">
        <v>4200</v>
      </c>
      <c r="V31" s="26">
        <v>4200</v>
      </c>
      <c r="W31" s="26">
        <v>4200</v>
      </c>
      <c r="X31" s="26">
        <v>4200</v>
      </c>
      <c r="Y31" s="26">
        <v>4200</v>
      </c>
      <c r="Z31" s="26">
        <v>4200</v>
      </c>
      <c r="AA31" s="26">
        <v>4200</v>
      </c>
      <c r="AB31" s="26">
        <v>4200</v>
      </c>
      <c r="AC31" s="26">
        <v>4200</v>
      </c>
      <c r="AD31" s="26"/>
      <c r="AE31" s="26"/>
      <c r="AF31" s="26"/>
    </row>
    <row r="32" spans="1:32" s="36" customFormat="1">
      <c r="A32" s="12" t="s">
        <v>7</v>
      </c>
      <c r="B32" s="24">
        <v>136145429</v>
      </c>
      <c r="C32" s="24"/>
      <c r="D32" s="24"/>
      <c r="E32" s="24"/>
      <c r="F32" s="24"/>
      <c r="G32" s="25"/>
      <c r="H32" s="24"/>
      <c r="I32" s="24"/>
      <c r="J32" s="24"/>
      <c r="K32" s="24"/>
      <c r="L32" s="24">
        <v>1270690</v>
      </c>
      <c r="M32" s="24">
        <v>1270692</v>
      </c>
      <c r="N32" s="24">
        <v>1270690</v>
      </c>
      <c r="O32" s="24">
        <v>1270690</v>
      </c>
      <c r="P32" s="24">
        <v>1270690</v>
      </c>
      <c r="Q32" s="24">
        <v>1270690</v>
      </c>
      <c r="R32" s="24">
        <v>1270690</v>
      </c>
      <c r="S32" s="24">
        <v>1270693</v>
      </c>
      <c r="T32" s="25"/>
      <c r="U32" s="24">
        <v>1270690</v>
      </c>
      <c r="V32" s="24">
        <v>1270690</v>
      </c>
      <c r="W32" s="24">
        <v>1270690</v>
      </c>
      <c r="X32" s="24">
        <v>1270690</v>
      </c>
      <c r="Y32" s="24">
        <v>1270690</v>
      </c>
      <c r="Z32" s="24">
        <v>1270694</v>
      </c>
      <c r="AA32" s="24">
        <v>1270690</v>
      </c>
      <c r="AB32" s="24">
        <v>1270690</v>
      </c>
      <c r="AC32" s="24">
        <v>1270690</v>
      </c>
      <c r="AD32" s="24">
        <v>1270690</v>
      </c>
      <c r="AE32" s="24">
        <v>1270690</v>
      </c>
      <c r="AF32" s="24">
        <v>1270694</v>
      </c>
    </row>
    <row r="33" spans="1:32" s="36" customFormat="1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s="36" customFormat="1">
      <c r="A34" s="12" t="s">
        <v>9</v>
      </c>
      <c r="B34" s="24">
        <v>136145429</v>
      </c>
      <c r="C34" s="24"/>
      <c r="D34" s="24"/>
      <c r="E34" s="24"/>
      <c r="F34" s="24"/>
      <c r="G34" s="25"/>
      <c r="H34" s="24"/>
      <c r="I34" s="24"/>
      <c r="J34" s="24"/>
      <c r="K34" s="24"/>
      <c r="L34" s="24">
        <f>B34-L32</f>
        <v>134874739</v>
      </c>
      <c r="M34" s="24">
        <f t="shared" ref="M34" si="10">L34-M32</f>
        <v>133604047</v>
      </c>
      <c r="N34" s="24">
        <f t="shared" ref="N34" si="11">M34-N32</f>
        <v>132333357</v>
      </c>
      <c r="O34" s="24">
        <f t="shared" ref="O34" si="12">N34-O32</f>
        <v>131062667</v>
      </c>
      <c r="P34" s="24">
        <f t="shared" ref="P34" si="13">O34-P32</f>
        <v>129791977</v>
      </c>
      <c r="Q34" s="24">
        <f t="shared" ref="Q34" si="14">P34-Q32</f>
        <v>128521287</v>
      </c>
      <c r="R34" s="24">
        <f t="shared" ref="R34" si="15">Q34-R32</f>
        <v>127250597</v>
      </c>
      <c r="S34" s="24">
        <f t="shared" ref="S34" si="16">R34-S32</f>
        <v>125979904</v>
      </c>
      <c r="T34" s="25"/>
      <c r="U34" s="24">
        <f>S34-U32</f>
        <v>124709214</v>
      </c>
      <c r="V34" s="24">
        <f>U34-V32</f>
        <v>123438524</v>
      </c>
      <c r="W34" s="24">
        <f t="shared" ref="W34:AF34" si="17">V34-W32</f>
        <v>122167834</v>
      </c>
      <c r="X34" s="24">
        <f t="shared" si="17"/>
        <v>120897144</v>
      </c>
      <c r="Y34" s="24">
        <f t="shared" si="17"/>
        <v>119626454</v>
      </c>
      <c r="Z34" s="24">
        <f t="shared" si="17"/>
        <v>118355760</v>
      </c>
      <c r="AA34" s="24">
        <f t="shared" si="17"/>
        <v>117085070</v>
      </c>
      <c r="AB34" s="24">
        <f t="shared" si="17"/>
        <v>115814380</v>
      </c>
      <c r="AC34" s="24">
        <f t="shared" si="17"/>
        <v>114543690</v>
      </c>
      <c r="AD34" s="24">
        <f t="shared" si="17"/>
        <v>113273000</v>
      </c>
      <c r="AE34" s="24">
        <f t="shared" si="17"/>
        <v>112002310</v>
      </c>
      <c r="AF34" s="24">
        <f t="shared" si="17"/>
        <v>110731616</v>
      </c>
    </row>
    <row r="35" spans="1:32" s="36" customFormat="1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s="36" customFormat="1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>
        <v>45.16</v>
      </c>
      <c r="M36" s="26">
        <v>100</v>
      </c>
      <c r="N36" s="26">
        <v>100</v>
      </c>
      <c r="O36" s="26">
        <v>252</v>
      </c>
      <c r="P36" s="26">
        <v>252</v>
      </c>
      <c r="Q36" s="26">
        <v>252</v>
      </c>
      <c r="R36" s="26">
        <v>252</v>
      </c>
      <c r="S36" s="26">
        <v>252</v>
      </c>
      <c r="T36" s="26"/>
      <c r="U36" s="26">
        <v>252</v>
      </c>
      <c r="V36" s="26">
        <v>252</v>
      </c>
      <c r="W36" s="26">
        <v>252</v>
      </c>
      <c r="X36" s="26">
        <v>252</v>
      </c>
      <c r="Y36" s="26">
        <v>252</v>
      </c>
      <c r="Z36" s="26">
        <v>252</v>
      </c>
      <c r="AA36" s="26">
        <v>252</v>
      </c>
      <c r="AB36" s="26">
        <v>252</v>
      </c>
      <c r="AC36" s="26">
        <v>252</v>
      </c>
      <c r="AD36" s="26"/>
      <c r="AE36" s="26"/>
      <c r="AF36" s="26"/>
    </row>
    <row r="37" spans="1:32" s="36" customFormat="1">
      <c r="A37" s="12" t="s">
        <v>12</v>
      </c>
      <c r="B37" s="26">
        <v>41357.25</v>
      </c>
      <c r="C37" s="26"/>
      <c r="D37" s="26"/>
      <c r="E37" s="26"/>
      <c r="F37" s="26"/>
      <c r="G37" s="26"/>
      <c r="H37" s="26"/>
      <c r="I37" s="26"/>
      <c r="J37" s="26"/>
      <c r="K37" s="26"/>
      <c r="L37" s="26">
        <v>1133.94</v>
      </c>
      <c r="M37" s="26">
        <v>732.8</v>
      </c>
      <c r="N37" s="26">
        <v>2756.18</v>
      </c>
      <c r="O37" s="26">
        <v>6617.77</v>
      </c>
      <c r="P37" s="26">
        <v>3014.37</v>
      </c>
      <c r="Q37" s="26">
        <v>3014.37</v>
      </c>
      <c r="R37" s="26">
        <v>3010.04</v>
      </c>
      <c r="S37" s="26">
        <v>3010.04</v>
      </c>
      <c r="T37" s="26"/>
      <c r="U37" s="26">
        <v>1761.04</v>
      </c>
      <c r="V37" s="26">
        <v>1761.04</v>
      </c>
      <c r="W37" s="26">
        <v>1761.04</v>
      </c>
      <c r="X37" s="26">
        <v>1761.04</v>
      </c>
      <c r="Y37" s="26">
        <v>2571.04</v>
      </c>
      <c r="Z37" s="26">
        <v>2648.98</v>
      </c>
      <c r="AA37" s="26">
        <v>1826.99</v>
      </c>
      <c r="AB37" s="26">
        <v>1028.24</v>
      </c>
      <c r="AC37" s="26">
        <v>1028.24</v>
      </c>
      <c r="AD37" s="26">
        <v>1028.24</v>
      </c>
      <c r="AE37" s="26"/>
      <c r="AF37" s="26"/>
    </row>
    <row r="38" spans="1:32" s="36" customFormat="1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s="36" customFormat="1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s="36" customFormat="1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36" customFormat="1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36" customFormat="1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36" customFormat="1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36" customFormat="1">
      <c r="A44" s="12" t="s">
        <v>19</v>
      </c>
      <c r="B44" s="29"/>
      <c r="C44" s="31">
        <f>SUM(C30*C45)</f>
        <v>0</v>
      </c>
      <c r="D44" s="31">
        <f t="shared" ref="D44:F44" si="18">SUM(D30*D45)</f>
        <v>0</v>
      </c>
      <c r="E44" s="31">
        <f t="shared" si="18"/>
        <v>0</v>
      </c>
      <c r="F44" s="31">
        <f t="shared" si="18"/>
        <v>0</v>
      </c>
      <c r="G44" s="31"/>
      <c r="H44" s="31">
        <f t="shared" ref="H44:S44" si="19">SUM(H30*H45)</f>
        <v>0</v>
      </c>
      <c r="I44" s="31">
        <f t="shared" si="19"/>
        <v>0</v>
      </c>
      <c r="J44" s="31">
        <f t="shared" si="19"/>
        <v>0</v>
      </c>
      <c r="K44" s="31">
        <f t="shared" si="19"/>
        <v>0</v>
      </c>
      <c r="L44" s="31">
        <f t="shared" si="19"/>
        <v>-186510.03800000003</v>
      </c>
      <c r="M44" s="31">
        <f t="shared" si="19"/>
        <v>-128609.304</v>
      </c>
      <c r="N44" s="31">
        <f t="shared" si="19"/>
        <v>-427484.46059999993</v>
      </c>
      <c r="O44" s="31">
        <f t="shared" si="19"/>
        <v>-399184.01040000009</v>
      </c>
      <c r="P44" s="31">
        <f t="shared" si="19"/>
        <v>133107.62910000002</v>
      </c>
      <c r="Q44" s="31">
        <f t="shared" si="19"/>
        <v>134321.34810000003</v>
      </c>
      <c r="R44" s="31">
        <f t="shared" si="19"/>
        <v>135825.98759999999</v>
      </c>
      <c r="S44" s="31">
        <f t="shared" si="19"/>
        <v>140121.8444</v>
      </c>
      <c r="T44" s="31"/>
      <c r="U44" s="31">
        <f t="shared" ref="U44:AF44" si="20">SUM(U30*U45)</f>
        <v>321308.16319999995</v>
      </c>
      <c r="V44" s="31">
        <f t="shared" si="20"/>
        <v>325594.60479999997</v>
      </c>
      <c r="W44" s="31">
        <f t="shared" si="20"/>
        <v>337010.53600000002</v>
      </c>
      <c r="X44" s="31">
        <f t="shared" si="20"/>
        <v>342543.54479999997</v>
      </c>
      <c r="Y44" s="31">
        <f t="shared" si="20"/>
        <v>215576.85760000002</v>
      </c>
      <c r="Z44" s="31">
        <f t="shared" si="20"/>
        <v>199607.41319999998</v>
      </c>
      <c r="AA44" s="31">
        <f t="shared" si="20"/>
        <v>330474.56810000003</v>
      </c>
      <c r="AB44" s="31">
        <f t="shared" si="20"/>
        <v>466811.22880000004</v>
      </c>
      <c r="AC44" s="31">
        <f t="shared" si="20"/>
        <v>468300.3064</v>
      </c>
      <c r="AD44" s="31">
        <f t="shared" si="20"/>
        <v>0</v>
      </c>
      <c r="AE44" s="31">
        <f t="shared" si="20"/>
        <v>0</v>
      </c>
      <c r="AF44" s="31">
        <f t="shared" si="20"/>
        <v>0</v>
      </c>
    </row>
    <row r="45" spans="1:32" s="36" customFormat="1">
      <c r="A45" s="12" t="s">
        <v>20</v>
      </c>
      <c r="B45" s="29"/>
      <c r="C45" s="33">
        <f>SUM(C31-C36-C37)</f>
        <v>0</v>
      </c>
      <c r="D45" s="33">
        <f t="shared" ref="D45:F45" si="21">SUM(D31-D36-D37)</f>
        <v>0</v>
      </c>
      <c r="E45" s="33">
        <f t="shared" si="21"/>
        <v>0</v>
      </c>
      <c r="F45" s="33">
        <f t="shared" si="21"/>
        <v>0</v>
      </c>
      <c r="G45" s="33"/>
      <c r="H45" s="33">
        <f t="shared" ref="H45:S45" si="22">SUM(H31-H36-H37)</f>
        <v>0</v>
      </c>
      <c r="I45" s="33">
        <f t="shared" si="22"/>
        <v>0</v>
      </c>
      <c r="J45" s="33">
        <f t="shared" si="22"/>
        <v>0</v>
      </c>
      <c r="K45" s="33">
        <f t="shared" si="22"/>
        <v>0</v>
      </c>
      <c r="L45" s="33">
        <f t="shared" si="22"/>
        <v>-1179.1000000000001</v>
      </c>
      <c r="M45" s="33">
        <f t="shared" si="22"/>
        <v>-832.8</v>
      </c>
      <c r="N45" s="33">
        <f t="shared" si="22"/>
        <v>-2856.18</v>
      </c>
      <c r="O45" s="33">
        <f t="shared" si="22"/>
        <v>-2669.7700000000004</v>
      </c>
      <c r="P45" s="33">
        <f t="shared" si="22"/>
        <v>933.63000000000011</v>
      </c>
      <c r="Q45" s="33">
        <f t="shared" si="22"/>
        <v>933.63000000000011</v>
      </c>
      <c r="R45" s="33">
        <f t="shared" si="22"/>
        <v>937.96</v>
      </c>
      <c r="S45" s="33">
        <f t="shared" si="22"/>
        <v>937.96</v>
      </c>
      <c r="T45" s="33"/>
      <c r="U45" s="33">
        <f t="shared" ref="U45:AF45" si="23">SUM(U31-U36-U37)</f>
        <v>2186.96</v>
      </c>
      <c r="V45" s="33">
        <f t="shared" si="23"/>
        <v>2186.96</v>
      </c>
      <c r="W45" s="33">
        <f t="shared" si="23"/>
        <v>2186.96</v>
      </c>
      <c r="X45" s="33">
        <f t="shared" si="23"/>
        <v>2186.96</v>
      </c>
      <c r="Y45" s="33">
        <f t="shared" si="23"/>
        <v>1376.96</v>
      </c>
      <c r="Z45" s="33">
        <f t="shared" si="23"/>
        <v>1299.02</v>
      </c>
      <c r="AA45" s="33">
        <f t="shared" si="23"/>
        <v>2121.0100000000002</v>
      </c>
      <c r="AB45" s="33">
        <f t="shared" si="23"/>
        <v>2919.76</v>
      </c>
      <c r="AC45" s="33">
        <f t="shared" si="23"/>
        <v>2919.76</v>
      </c>
      <c r="AD45" s="33">
        <f t="shared" si="23"/>
        <v>-1028.24</v>
      </c>
      <c r="AE45" s="33">
        <f t="shared" si="23"/>
        <v>0</v>
      </c>
      <c r="AF45" s="33">
        <f t="shared" si="23"/>
        <v>0</v>
      </c>
    </row>
    <row r="46" spans="1:32" s="36" customFormat="1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s="36" customFormat="1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48" spans="1:32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3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23" s="36" customFormat="1">
      <c r="A50" s="35"/>
      <c r="B50" s="35"/>
      <c r="C50" s="35"/>
      <c r="D50" s="35"/>
      <c r="E50" s="35"/>
      <c r="F50" s="35"/>
    </row>
    <row r="51" spans="1:23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3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23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51">
        <v>12338.88</v>
      </c>
      <c r="S53" s="51"/>
    </row>
    <row r="54" spans="1:23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51">
        <v>1028.24</v>
      </c>
      <c r="S54" s="51"/>
    </row>
    <row r="55" spans="1:23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51">
        <v>1028.24</v>
      </c>
      <c r="S55" s="51"/>
    </row>
    <row r="56" spans="1:23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1">
        <v>1028.24</v>
      </c>
      <c r="S56" s="55"/>
    </row>
    <row r="57" spans="1:23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1">
        <v>1028.24</v>
      </c>
      <c r="S57" s="55"/>
    </row>
    <row r="58" spans="1:23" s="36" customFormat="1">
      <c r="A58" s="35"/>
      <c r="B58" s="35"/>
      <c r="C58" s="35"/>
      <c r="D58" s="35"/>
      <c r="E58" s="35"/>
      <c r="F58" s="35"/>
      <c r="R58" s="51">
        <v>1028.24</v>
      </c>
      <c r="S58" s="56"/>
    </row>
    <row r="59" spans="1:23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51">
        <v>1028.24</v>
      </c>
      <c r="S59" s="51"/>
      <c r="T59" s="2"/>
      <c r="U59" s="2"/>
      <c r="V59" s="2"/>
      <c r="W59" s="2"/>
    </row>
    <row r="60" spans="1:23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51">
        <v>1028.24</v>
      </c>
      <c r="S60" s="51"/>
    </row>
    <row r="61" spans="1:23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1">
        <v>1028.24</v>
      </c>
      <c r="S61" s="51"/>
    </row>
    <row r="62" spans="1:23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1">
        <v>1028.24</v>
      </c>
      <c r="S62" s="51"/>
    </row>
    <row r="63" spans="1:23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51">
        <v>1028.24</v>
      </c>
      <c r="S63" s="51"/>
    </row>
    <row r="64" spans="1:23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51">
        <v>1028.24</v>
      </c>
      <c r="S64" s="55"/>
    </row>
    <row r="65" spans="1:25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51">
        <v>1028.24</v>
      </c>
      <c r="S65" s="55"/>
    </row>
    <row r="66" spans="1:25" s="36" customFormat="1">
      <c r="A66" s="35"/>
      <c r="B66" s="35"/>
      <c r="C66" s="35"/>
      <c r="D66" s="35"/>
      <c r="E66" s="35"/>
      <c r="F66" s="35"/>
      <c r="R66" s="56"/>
      <c r="S66" s="56"/>
    </row>
    <row r="67" spans="1:25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51"/>
      <c r="S67" s="51"/>
      <c r="T67" s="2"/>
      <c r="U67" s="2"/>
      <c r="V67" s="2"/>
      <c r="W67" s="2"/>
      <c r="X67" s="2"/>
    </row>
    <row r="68" spans="1:25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51"/>
      <c r="S68" s="51"/>
    </row>
    <row r="69" spans="1:25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51"/>
      <c r="S69" s="51"/>
    </row>
    <row r="70" spans="1:25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51"/>
      <c r="S70" s="51"/>
    </row>
    <row r="71" spans="1:25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51"/>
      <c r="S71" s="51"/>
    </row>
    <row r="72" spans="1:25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25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25" s="36" customFormat="1">
      <c r="A74" s="35"/>
      <c r="B74" s="35"/>
      <c r="C74" s="35"/>
      <c r="D74" s="35"/>
      <c r="E74" s="35"/>
      <c r="F74" s="35"/>
    </row>
    <row r="75" spans="1:25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25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25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5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5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6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26" s="36" customFormat="1">
      <c r="A82" s="35"/>
    </row>
    <row r="83" spans="1:26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6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26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26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26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6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6" s="36" customFormat="1">
      <c r="A90" s="35"/>
    </row>
    <row r="91" spans="1:26" s="36" customFormat="1">
      <c r="A91" s="35"/>
    </row>
    <row r="92" spans="1:26" s="36" customFormat="1">
      <c r="A92" s="35"/>
    </row>
    <row r="93" spans="1:26" s="36" customFormat="1">
      <c r="A93" s="35"/>
    </row>
    <row r="94" spans="1:26" s="36" customFormat="1">
      <c r="A94" s="35"/>
    </row>
    <row r="95" spans="1:26" s="36" customFormat="1">
      <c r="A95" s="35"/>
    </row>
    <row r="96" spans="1:26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A1E1-57A6-434C-A613-8C562D570AC0}">
  <dimension ref="A1:AH63"/>
  <sheetViews>
    <sheetView zoomScale="90" zoomScaleNormal="90" workbookViewId="0">
      <pane xSplit="1" ySplit="1" topLeftCell="L2" activePane="bottomRight" state="frozen"/>
      <selection pane="bottomRight" activeCell="V12" sqref="V12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3.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22" width="11.5" bestFit="1" customWidth="1"/>
    <col min="23" max="25" width="11.25" bestFit="1" customWidth="1"/>
    <col min="26" max="32" width="10.125" bestFit="1" customWidth="1"/>
  </cols>
  <sheetData>
    <row r="1" spans="1:34">
      <c r="A1" s="23" t="s">
        <v>91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45901</v>
      </c>
      <c r="W1" s="5">
        <v>45932</v>
      </c>
      <c r="X1" s="5">
        <v>45963</v>
      </c>
      <c r="Y1" s="5">
        <v>45994</v>
      </c>
      <c r="Z1" s="5">
        <v>46023</v>
      </c>
      <c r="AA1" s="5">
        <v>46054</v>
      </c>
      <c r="AB1" s="5">
        <v>46082</v>
      </c>
      <c r="AC1" s="5">
        <v>46113</v>
      </c>
      <c r="AD1" s="5">
        <v>46143</v>
      </c>
      <c r="AE1" s="5">
        <v>46174</v>
      </c>
      <c r="AF1" s="5">
        <v>46204</v>
      </c>
    </row>
    <row r="2" spans="1:34">
      <c r="A2" s="12" t="s">
        <v>1</v>
      </c>
      <c r="B2" s="24">
        <f>B3*160</f>
        <v>155200000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970000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4">
      <c r="A4" s="12" t="s">
        <v>3</v>
      </c>
      <c r="B4" s="24">
        <f>B6*B5</f>
        <v>742500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/>
      <c r="U4" s="24">
        <f t="shared" ref="U4:AF4" si="1">U5*U6</f>
        <v>0</v>
      </c>
      <c r="V4" s="24">
        <f t="shared" si="1"/>
        <v>156536.89840000001</v>
      </c>
      <c r="W4" s="24">
        <f t="shared" si="1"/>
        <v>762795</v>
      </c>
      <c r="X4" s="24">
        <f t="shared" si="1"/>
        <v>775318.5</v>
      </c>
      <c r="Y4" s="24">
        <f t="shared" si="1"/>
        <v>774972</v>
      </c>
      <c r="Z4" s="24">
        <f t="shared" si="1"/>
        <v>760617</v>
      </c>
      <c r="AA4" s="24">
        <f t="shared" si="1"/>
        <v>771259.5</v>
      </c>
      <c r="AB4" s="24">
        <f t="shared" si="1"/>
        <v>791406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4950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/>
      <c r="U6" s="26">
        <v>0</v>
      </c>
      <c r="V6" s="26">
        <v>1051.43</v>
      </c>
      <c r="W6" s="26">
        <v>4950</v>
      </c>
      <c r="X6" s="26">
        <v>4950</v>
      </c>
      <c r="Y6" s="26">
        <v>4950</v>
      </c>
      <c r="Z6" s="26">
        <v>4950</v>
      </c>
      <c r="AA6" s="26">
        <v>4950</v>
      </c>
      <c r="AB6" s="26">
        <v>4950</v>
      </c>
      <c r="AC6" s="26"/>
      <c r="AD6" s="26"/>
      <c r="AE6" s="26"/>
      <c r="AF6" s="26"/>
    </row>
    <row r="7" spans="1:34">
      <c r="A7" s="12" t="s">
        <v>7</v>
      </c>
      <c r="B7" s="24"/>
      <c r="C7" s="24"/>
      <c r="D7" s="24"/>
      <c r="E7" s="24"/>
      <c r="F7" s="24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4">
        <v>1025794</v>
      </c>
      <c r="V7" s="24">
        <v>1025794</v>
      </c>
      <c r="W7" s="24">
        <v>1025794</v>
      </c>
      <c r="X7" s="24">
        <v>1025794</v>
      </c>
      <c r="Y7" s="24">
        <v>1025794</v>
      </c>
      <c r="Z7" s="24">
        <v>1025796</v>
      </c>
      <c r="AA7" s="24">
        <v>1025794</v>
      </c>
      <c r="AB7" s="24">
        <v>1025794</v>
      </c>
      <c r="AC7" s="24">
        <v>1025794</v>
      </c>
      <c r="AD7" s="24">
        <v>1025794</v>
      </c>
      <c r="AE7" s="24">
        <v>1025794</v>
      </c>
      <c r="AF7" s="24">
        <v>1025797</v>
      </c>
    </row>
    <row r="8" spans="1:34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4">
      <c r="A9" s="12" t="s">
        <v>9</v>
      </c>
      <c r="B9" s="24"/>
      <c r="C9" s="24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v>108880758</v>
      </c>
      <c r="T9" s="25"/>
      <c r="U9" s="24">
        <f>S9-U7</f>
        <v>107854964</v>
      </c>
      <c r="V9" s="24">
        <f>U9-V7</f>
        <v>106829170</v>
      </c>
      <c r="W9" s="24">
        <f t="shared" ref="W9:AF9" si="2">V9-W7</f>
        <v>105803376</v>
      </c>
      <c r="X9" s="24">
        <f t="shared" si="2"/>
        <v>104777582</v>
      </c>
      <c r="Y9" s="24">
        <f t="shared" si="2"/>
        <v>103751788</v>
      </c>
      <c r="Z9" s="24">
        <f t="shared" si="2"/>
        <v>102725992</v>
      </c>
      <c r="AA9" s="24">
        <f t="shared" si="2"/>
        <v>101700198</v>
      </c>
      <c r="AB9" s="24">
        <f t="shared" si="2"/>
        <v>100674404</v>
      </c>
      <c r="AC9" s="24">
        <f t="shared" si="2"/>
        <v>99648610</v>
      </c>
      <c r="AD9" s="24">
        <f t="shared" si="2"/>
        <v>98622816</v>
      </c>
      <c r="AE9" s="24">
        <f t="shared" si="2"/>
        <v>97597022</v>
      </c>
      <c r="AF9" s="24">
        <f t="shared" si="2"/>
        <v>96571225</v>
      </c>
    </row>
    <row r="10" spans="1:34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4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>
        <v>500</v>
      </c>
      <c r="T11" s="26"/>
      <c r="U11" s="26">
        <v>100</v>
      </c>
      <c r="V11" s="26">
        <v>100</v>
      </c>
      <c r="W11" s="26">
        <v>346.5</v>
      </c>
      <c r="X11" s="26">
        <v>346.5</v>
      </c>
      <c r="Y11" s="26">
        <v>346.5</v>
      </c>
      <c r="Z11" s="26">
        <v>346.5</v>
      </c>
      <c r="AA11" s="26">
        <v>346.5</v>
      </c>
      <c r="AB11" s="26">
        <v>346.5</v>
      </c>
      <c r="AC11" s="26"/>
      <c r="AD11" s="26"/>
      <c r="AE11" s="26"/>
      <c r="AF11" s="26"/>
      <c r="AG11" s="64">
        <f>SUM(C36:AF36)</f>
        <v>2779</v>
      </c>
      <c r="AH11" t="s">
        <v>26</v>
      </c>
    </row>
    <row r="12" spans="1:34">
      <c r="A12" s="12" t="s">
        <v>12</v>
      </c>
      <c r="B12" s="26">
        <v>24758.32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>
        <v>310.16000000000003</v>
      </c>
      <c r="T12" s="26"/>
      <c r="U12" s="26">
        <v>924.31</v>
      </c>
      <c r="V12" s="26">
        <v>37591.94</v>
      </c>
      <c r="W12" s="26">
        <v>1259.4000000000001</v>
      </c>
      <c r="X12" s="26">
        <v>924.31</v>
      </c>
      <c r="Y12" s="26">
        <v>949.31</v>
      </c>
      <c r="Z12" s="26">
        <v>952.04</v>
      </c>
      <c r="AA12" s="26">
        <v>952.04</v>
      </c>
      <c r="AB12" s="26">
        <v>952.04</v>
      </c>
      <c r="AC12" s="26"/>
      <c r="AD12" s="26"/>
      <c r="AE12" s="26"/>
      <c r="AF12" s="26"/>
      <c r="AG12" s="64">
        <v>1222.47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0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12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4013.4700000000003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 t="e">
        <f>B13/B9</f>
        <v>#DIV/0!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3">SUM(D5*D20)</f>
        <v>0</v>
      </c>
      <c r="E19" s="31">
        <f t="shared" si="3"/>
        <v>0</v>
      </c>
      <c r="F19" s="31">
        <f t="shared" si="3"/>
        <v>0</v>
      </c>
      <c r="G19" s="31"/>
      <c r="H19" s="31">
        <f t="shared" si="3"/>
        <v>0</v>
      </c>
      <c r="I19" s="31">
        <f t="shared" si="3"/>
        <v>0</v>
      </c>
      <c r="J19" s="31">
        <f t="shared" si="3"/>
        <v>0</v>
      </c>
      <c r="K19" s="31">
        <f t="shared" si="3"/>
        <v>0</v>
      </c>
      <c r="L19" s="31">
        <f t="shared" si="3"/>
        <v>0</v>
      </c>
      <c r="M19" s="31">
        <f t="shared" si="3"/>
        <v>0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-121029.8024</v>
      </c>
      <c r="T19" s="31"/>
      <c r="U19" s="31">
        <f t="shared" ref="U19:AF19" si="4">SUM(U5*U20)</f>
        <v>-150491.62519999998</v>
      </c>
      <c r="V19" s="31">
        <f t="shared" si="4"/>
        <v>-5455039.1288000001</v>
      </c>
      <c r="W19" s="31">
        <f t="shared" si="4"/>
        <v>515325.80999999994</v>
      </c>
      <c r="X19" s="31">
        <f t="shared" si="4"/>
        <v>576271.52969999996</v>
      </c>
      <c r="Y19" s="31">
        <f t="shared" si="4"/>
        <v>572099.98640000005</v>
      </c>
      <c r="Z19" s="31">
        <f t="shared" si="4"/>
        <v>561083.34360000002</v>
      </c>
      <c r="AA19" s="31">
        <f t="shared" si="4"/>
        <v>568933.98259999999</v>
      </c>
      <c r="AB19" s="31">
        <f t="shared" si="4"/>
        <v>583795.42480000004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5">SUM(D6-D11-D12)</f>
        <v>0</v>
      </c>
      <c r="E20" s="33">
        <f t="shared" si="5"/>
        <v>0</v>
      </c>
      <c r="F20" s="33">
        <f t="shared" si="5"/>
        <v>0</v>
      </c>
      <c r="G20" s="33"/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  <c r="P20" s="33">
        <f t="shared" si="5"/>
        <v>0</v>
      </c>
      <c r="Q20" s="33">
        <f t="shared" si="5"/>
        <v>0</v>
      </c>
      <c r="R20" s="33">
        <f t="shared" si="5"/>
        <v>0</v>
      </c>
      <c r="S20" s="33">
        <f t="shared" si="5"/>
        <v>-810.16000000000008</v>
      </c>
      <c r="T20" s="33"/>
      <c r="U20" s="33">
        <f t="shared" ref="U20:AF20" si="6">SUM(U6-U11-U12)</f>
        <v>-1024.31</v>
      </c>
      <c r="V20" s="33">
        <f t="shared" si="6"/>
        <v>-36640.51</v>
      </c>
      <c r="W20" s="33">
        <f t="shared" si="6"/>
        <v>3344.1</v>
      </c>
      <c r="X20" s="33">
        <f t="shared" si="6"/>
        <v>3679.19</v>
      </c>
      <c r="Y20" s="33">
        <f t="shared" si="6"/>
        <v>3654.19</v>
      </c>
      <c r="Z20" s="33">
        <f t="shared" si="6"/>
        <v>3651.46</v>
      </c>
      <c r="AA20" s="33">
        <f t="shared" si="6"/>
        <v>3651.46</v>
      </c>
      <c r="AB20" s="33">
        <f t="shared" si="6"/>
        <v>3651.46</v>
      </c>
      <c r="AC20" s="33">
        <f t="shared" si="6"/>
        <v>0</v>
      </c>
      <c r="AD20" s="33">
        <f t="shared" si="6"/>
        <v>0</v>
      </c>
      <c r="AE20" s="33">
        <f t="shared" si="6"/>
        <v>0</v>
      </c>
      <c r="AF20" s="33">
        <f t="shared" si="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4" spans="1:32">
      <c r="A24" s="12" t="s">
        <v>23</v>
      </c>
      <c r="B24" s="67">
        <v>45860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91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5">
        <v>45900</v>
      </c>
      <c r="V26" s="5">
        <v>45901</v>
      </c>
      <c r="W26" s="5">
        <v>45932</v>
      </c>
      <c r="X26" s="5">
        <v>45963</v>
      </c>
      <c r="Y26" s="5">
        <v>45994</v>
      </c>
      <c r="Z26" s="5">
        <v>46023</v>
      </c>
      <c r="AA26" s="5">
        <v>46054</v>
      </c>
      <c r="AB26" s="5">
        <v>46082</v>
      </c>
      <c r="AC26" s="5">
        <v>46113</v>
      </c>
      <c r="AD26" s="5">
        <v>46143</v>
      </c>
      <c r="AE26" s="5">
        <v>46174</v>
      </c>
      <c r="AF26" s="5">
        <v>46204</v>
      </c>
    </row>
    <row r="27" spans="1:32">
      <c r="A27" s="12" t="s">
        <v>1</v>
      </c>
      <c r="B27" s="24">
        <f>B28*160</f>
        <v>155200000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970000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7">H30*H31</f>
        <v>0</v>
      </c>
      <c r="I29" s="24">
        <f t="shared" si="7"/>
        <v>0</v>
      </c>
      <c r="J29" s="24">
        <f t="shared" si="7"/>
        <v>0</v>
      </c>
      <c r="K29" s="24">
        <f t="shared" si="7"/>
        <v>0</v>
      </c>
      <c r="L29" s="24">
        <f t="shared" si="7"/>
        <v>0</v>
      </c>
      <c r="M29" s="24">
        <f t="shared" si="7"/>
        <v>0</v>
      </c>
      <c r="N29" s="24">
        <f t="shared" si="7"/>
        <v>0</v>
      </c>
      <c r="O29" s="24">
        <f t="shared" si="7"/>
        <v>0</v>
      </c>
      <c r="P29" s="24">
        <f t="shared" si="7"/>
        <v>0</v>
      </c>
      <c r="Q29" s="24">
        <f t="shared" si="7"/>
        <v>0</v>
      </c>
      <c r="R29" s="24">
        <f t="shared" si="7"/>
        <v>0</v>
      </c>
      <c r="S29" s="24">
        <f t="shared" si="7"/>
        <v>0</v>
      </c>
      <c r="T29" s="24"/>
      <c r="U29" s="24">
        <f t="shared" ref="U29:AF29" si="8">U30*U31</f>
        <v>0</v>
      </c>
      <c r="V29" s="24">
        <f t="shared" si="8"/>
        <v>156536.89840000001</v>
      </c>
      <c r="W29" s="24">
        <f t="shared" si="8"/>
        <v>762795</v>
      </c>
      <c r="X29" s="24">
        <f t="shared" si="8"/>
        <v>775318.5</v>
      </c>
      <c r="Y29" s="24">
        <f t="shared" si="8"/>
        <v>774972</v>
      </c>
      <c r="Z29" s="24">
        <f t="shared" si="8"/>
        <v>760617</v>
      </c>
      <c r="AA29" s="24">
        <f t="shared" si="8"/>
        <v>771259.5</v>
      </c>
      <c r="AB29" s="24">
        <f t="shared" si="8"/>
        <v>791406</v>
      </c>
      <c r="AC29" s="24">
        <f t="shared" si="8"/>
        <v>0</v>
      </c>
      <c r="AD29" s="24">
        <f t="shared" si="8"/>
        <v>0</v>
      </c>
      <c r="AE29" s="24">
        <f t="shared" si="8"/>
        <v>0</v>
      </c>
      <c r="AF29" s="24">
        <f t="shared" si="8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>
        <v>0</v>
      </c>
      <c r="V31" s="26">
        <v>1051.43</v>
      </c>
      <c r="W31" s="26">
        <v>4950</v>
      </c>
      <c r="X31" s="26">
        <v>4950</v>
      </c>
      <c r="Y31" s="26">
        <v>4950</v>
      </c>
      <c r="Z31" s="26">
        <v>4950</v>
      </c>
      <c r="AA31" s="26">
        <v>4950</v>
      </c>
      <c r="AB31" s="26">
        <v>4950</v>
      </c>
      <c r="AC31" s="26"/>
      <c r="AD31" s="26"/>
      <c r="AE31" s="26"/>
      <c r="AF31" s="26"/>
    </row>
    <row r="32" spans="1:32">
      <c r="A32" s="12" t="s">
        <v>7</v>
      </c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4">
        <v>1025794</v>
      </c>
      <c r="V32" s="24">
        <v>1025794</v>
      </c>
      <c r="W32" s="24">
        <v>1025794</v>
      </c>
      <c r="X32" s="24">
        <v>1025794</v>
      </c>
      <c r="Y32" s="24">
        <v>1025794</v>
      </c>
      <c r="Z32" s="24">
        <v>1025796</v>
      </c>
      <c r="AA32" s="24">
        <v>1025794</v>
      </c>
      <c r="AB32" s="24">
        <v>1025794</v>
      </c>
      <c r="AC32" s="24">
        <v>1025794</v>
      </c>
      <c r="AD32" s="24">
        <v>1025794</v>
      </c>
      <c r="AE32" s="24">
        <v>1025794</v>
      </c>
      <c r="AF32" s="24">
        <v>1025797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/>
      <c r="C34" s="24"/>
      <c r="D34" s="24"/>
      <c r="E34" s="24"/>
      <c r="F34" s="24"/>
      <c r="G34" s="25"/>
      <c r="H34" s="24"/>
      <c r="I34" s="24">
        <f>B34-I32</f>
        <v>0</v>
      </c>
      <c r="J34" s="24">
        <f t="shared" ref="J34:R34" si="9">I34-J32</f>
        <v>0</v>
      </c>
      <c r="K34" s="24">
        <f t="shared" si="9"/>
        <v>0</v>
      </c>
      <c r="L34" s="24">
        <f t="shared" si="9"/>
        <v>0</v>
      </c>
      <c r="M34" s="24">
        <f t="shared" si="9"/>
        <v>0</v>
      </c>
      <c r="N34" s="24">
        <f t="shared" si="9"/>
        <v>0</v>
      </c>
      <c r="O34" s="24">
        <f t="shared" si="9"/>
        <v>0</v>
      </c>
      <c r="P34" s="24">
        <f t="shared" si="9"/>
        <v>0</v>
      </c>
      <c r="Q34" s="24">
        <f t="shared" si="9"/>
        <v>0</v>
      </c>
      <c r="R34" s="24">
        <f t="shared" si="9"/>
        <v>0</v>
      </c>
      <c r="S34" s="24">
        <v>108880758</v>
      </c>
      <c r="T34" s="25"/>
      <c r="U34" s="24">
        <f>S34-U32</f>
        <v>107854964</v>
      </c>
      <c r="V34" s="24">
        <f>U34-V32</f>
        <v>106829170</v>
      </c>
      <c r="W34" s="24">
        <f t="shared" ref="W34:AF34" si="10">V34-W32</f>
        <v>105803376</v>
      </c>
      <c r="X34" s="24">
        <f t="shared" si="10"/>
        <v>104777582</v>
      </c>
      <c r="Y34" s="24">
        <f t="shared" si="10"/>
        <v>103751788</v>
      </c>
      <c r="Z34" s="24">
        <f t="shared" si="10"/>
        <v>102725992</v>
      </c>
      <c r="AA34" s="24">
        <f t="shared" si="10"/>
        <v>101700198</v>
      </c>
      <c r="AB34" s="24">
        <f t="shared" si="10"/>
        <v>100674404</v>
      </c>
      <c r="AC34" s="24">
        <f t="shared" si="10"/>
        <v>99648610</v>
      </c>
      <c r="AD34" s="24">
        <f t="shared" si="10"/>
        <v>98622816</v>
      </c>
      <c r="AE34" s="24">
        <f t="shared" si="10"/>
        <v>97597022</v>
      </c>
      <c r="AF34" s="24">
        <f t="shared" si="10"/>
        <v>96571225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>
        <v>500</v>
      </c>
      <c r="T36" s="26"/>
      <c r="U36" s="26">
        <v>100</v>
      </c>
      <c r="V36" s="26">
        <v>100</v>
      </c>
      <c r="W36" s="26">
        <v>346.5</v>
      </c>
      <c r="X36" s="26">
        <v>346.5</v>
      </c>
      <c r="Y36" s="26">
        <v>346.5</v>
      </c>
      <c r="Z36" s="26">
        <v>346.5</v>
      </c>
      <c r="AA36" s="26">
        <v>346.5</v>
      </c>
      <c r="AB36" s="26">
        <v>346.5</v>
      </c>
      <c r="AC36" s="26"/>
      <c r="AD36" s="26"/>
      <c r="AE36" s="26"/>
      <c r="AF36" s="26"/>
    </row>
    <row r="37" spans="1:32">
      <c r="A37" s="12" t="s">
        <v>12</v>
      </c>
      <c r="B37" s="26">
        <v>24758.32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>
        <v>310.16000000000003</v>
      </c>
      <c r="U37" s="26">
        <v>924.31</v>
      </c>
      <c r="V37" s="26">
        <v>30587.62</v>
      </c>
      <c r="W37" s="26">
        <v>2134.94</v>
      </c>
      <c r="X37" s="26">
        <v>1799.85</v>
      </c>
      <c r="Y37" s="26">
        <v>1824.85</v>
      </c>
      <c r="Z37" s="26">
        <v>1827.58</v>
      </c>
      <c r="AA37" s="26">
        <v>1827.58</v>
      </c>
      <c r="AB37" s="26">
        <v>875.54</v>
      </c>
      <c r="AC37" s="26">
        <v>875.54</v>
      </c>
      <c r="AD37" s="26">
        <v>875.54</v>
      </c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 t="e">
        <f>B38/B34</f>
        <v>#DIV/0!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11">SUM(D30*D45)</f>
        <v>0</v>
      </c>
      <c r="E44" s="31">
        <f t="shared" si="11"/>
        <v>0</v>
      </c>
      <c r="F44" s="31">
        <f t="shared" si="11"/>
        <v>0</v>
      </c>
      <c r="G44" s="31"/>
      <c r="H44" s="31">
        <f t="shared" ref="H44:S44" si="12">SUM(H30*H45)</f>
        <v>0</v>
      </c>
      <c r="I44" s="31">
        <f t="shared" si="12"/>
        <v>0</v>
      </c>
      <c r="J44" s="31">
        <f t="shared" si="12"/>
        <v>0</v>
      </c>
      <c r="K44" s="31">
        <f t="shared" si="12"/>
        <v>0</v>
      </c>
      <c r="L44" s="31">
        <f t="shared" si="12"/>
        <v>0</v>
      </c>
      <c r="M44" s="31">
        <f t="shared" si="12"/>
        <v>0</v>
      </c>
      <c r="N44" s="31">
        <f t="shared" si="12"/>
        <v>0</v>
      </c>
      <c r="O44" s="31">
        <f t="shared" si="12"/>
        <v>0</v>
      </c>
      <c r="P44" s="31">
        <f t="shared" si="12"/>
        <v>0</v>
      </c>
      <c r="Q44" s="31">
        <f t="shared" si="12"/>
        <v>0</v>
      </c>
      <c r="R44" s="31">
        <f t="shared" si="12"/>
        <v>0</v>
      </c>
      <c r="S44" s="31">
        <f t="shared" si="12"/>
        <v>-121029.8024</v>
      </c>
      <c r="T44" s="31"/>
      <c r="U44" s="31">
        <f t="shared" ref="U44:AF44" si="13">SUM(U30*U45)</f>
        <v>-150491.62519999998</v>
      </c>
      <c r="V44" s="31">
        <f t="shared" si="13"/>
        <v>-4412235.9671999998</v>
      </c>
      <c r="W44" s="31">
        <f t="shared" si="13"/>
        <v>380405.09599999996</v>
      </c>
      <c r="X44" s="31">
        <f t="shared" si="13"/>
        <v>439135.69949999999</v>
      </c>
      <c r="Y44" s="31">
        <f t="shared" si="13"/>
        <v>435025.44400000002</v>
      </c>
      <c r="Z44" s="31">
        <f t="shared" si="13"/>
        <v>426547.86719999998</v>
      </c>
      <c r="AA44" s="31">
        <f t="shared" si="13"/>
        <v>432516.09520000004</v>
      </c>
      <c r="AB44" s="31">
        <f t="shared" si="13"/>
        <v>596026.24479999999</v>
      </c>
      <c r="AC44" s="31">
        <f t="shared" si="13"/>
        <v>-140427.86059999999</v>
      </c>
      <c r="AD44" s="31">
        <f t="shared" si="13"/>
        <v>0</v>
      </c>
      <c r="AE44" s="31">
        <f t="shared" si="13"/>
        <v>0</v>
      </c>
      <c r="AF44" s="31">
        <f t="shared" si="13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14">SUM(D31-D36-D37)</f>
        <v>0</v>
      </c>
      <c r="E45" s="33">
        <f t="shared" si="14"/>
        <v>0</v>
      </c>
      <c r="F45" s="33">
        <f t="shared" si="14"/>
        <v>0</v>
      </c>
      <c r="G45" s="33"/>
      <c r="H45" s="33">
        <f t="shared" ref="H45:S45" si="15">SUM(H31-H36-H37)</f>
        <v>0</v>
      </c>
      <c r="I45" s="33">
        <f t="shared" si="15"/>
        <v>0</v>
      </c>
      <c r="J45" s="33">
        <f t="shared" si="15"/>
        <v>0</v>
      </c>
      <c r="K45" s="33">
        <f t="shared" si="15"/>
        <v>0</v>
      </c>
      <c r="L45" s="33">
        <f t="shared" si="15"/>
        <v>0</v>
      </c>
      <c r="M45" s="33">
        <f t="shared" si="15"/>
        <v>0</v>
      </c>
      <c r="N45" s="33">
        <f t="shared" si="15"/>
        <v>0</v>
      </c>
      <c r="O45" s="33">
        <f t="shared" si="15"/>
        <v>0</v>
      </c>
      <c r="P45" s="33">
        <f t="shared" si="15"/>
        <v>0</v>
      </c>
      <c r="Q45" s="33">
        <f t="shared" si="15"/>
        <v>0</v>
      </c>
      <c r="R45" s="33">
        <f t="shared" si="15"/>
        <v>0</v>
      </c>
      <c r="S45" s="33">
        <f t="shared" si="15"/>
        <v>-810.16000000000008</v>
      </c>
      <c r="T45" s="33"/>
      <c r="U45" s="33">
        <f t="shared" ref="U45:AF45" si="16">SUM(U31-U36-U37)</f>
        <v>-1024.31</v>
      </c>
      <c r="V45" s="33">
        <f t="shared" si="16"/>
        <v>-29636.19</v>
      </c>
      <c r="W45" s="33">
        <f t="shared" si="16"/>
        <v>2468.56</v>
      </c>
      <c r="X45" s="33">
        <f t="shared" si="16"/>
        <v>2803.65</v>
      </c>
      <c r="Y45" s="33">
        <f t="shared" si="16"/>
        <v>2778.65</v>
      </c>
      <c r="Z45" s="33">
        <f t="shared" si="16"/>
        <v>2775.92</v>
      </c>
      <c r="AA45" s="33">
        <f t="shared" si="16"/>
        <v>2775.92</v>
      </c>
      <c r="AB45" s="33">
        <f t="shared" si="16"/>
        <v>3727.96</v>
      </c>
      <c r="AC45" s="33">
        <f t="shared" si="16"/>
        <v>-875.54</v>
      </c>
      <c r="AD45" s="33">
        <f t="shared" si="16"/>
        <v>-875.54</v>
      </c>
      <c r="AE45" s="33">
        <f t="shared" si="16"/>
        <v>0</v>
      </c>
      <c r="AF45" s="33">
        <f t="shared" si="16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7:22">
      <c r="R50" s="58">
        <v>20198.14</v>
      </c>
      <c r="S50" s="58"/>
      <c r="V50" s="64">
        <v>7879.87</v>
      </c>
    </row>
    <row r="51" spans="17:22">
      <c r="Q51">
        <v>1</v>
      </c>
      <c r="R51" s="58">
        <v>1683.16</v>
      </c>
      <c r="S51" s="58"/>
      <c r="U51">
        <v>1</v>
      </c>
      <c r="V51" s="64">
        <v>875.55</v>
      </c>
    </row>
    <row r="52" spans="17:22">
      <c r="Q52">
        <v>2</v>
      </c>
      <c r="R52" s="58">
        <v>1683.18</v>
      </c>
      <c r="S52" s="58"/>
      <c r="U52">
        <v>2</v>
      </c>
      <c r="V52" s="64">
        <v>875.54</v>
      </c>
    </row>
    <row r="53" spans="17:22">
      <c r="Q53">
        <v>3</v>
      </c>
      <c r="R53" s="58">
        <v>1683.18</v>
      </c>
      <c r="S53" s="58"/>
      <c r="U53">
        <v>3</v>
      </c>
      <c r="V53" s="64">
        <v>875.54</v>
      </c>
    </row>
    <row r="54" spans="17:22">
      <c r="Q54">
        <v>4</v>
      </c>
      <c r="R54" s="58">
        <v>1683.18</v>
      </c>
      <c r="S54" s="58"/>
      <c r="U54">
        <v>4</v>
      </c>
      <c r="V54" s="64">
        <v>875.54</v>
      </c>
    </row>
    <row r="55" spans="17:22">
      <c r="Q55">
        <v>5</v>
      </c>
      <c r="R55" s="58">
        <v>1683.18</v>
      </c>
      <c r="S55" s="58"/>
      <c r="U55">
        <v>5</v>
      </c>
      <c r="V55" s="64">
        <v>875.54</v>
      </c>
    </row>
    <row r="56" spans="17:22">
      <c r="Q56">
        <v>6</v>
      </c>
      <c r="R56" s="58">
        <v>1683.18</v>
      </c>
      <c r="S56" s="58"/>
      <c r="U56">
        <v>6</v>
      </c>
      <c r="V56" s="64">
        <v>875.54</v>
      </c>
    </row>
    <row r="57" spans="17:22">
      <c r="Q57">
        <v>7</v>
      </c>
      <c r="R57" s="58">
        <v>1683.18</v>
      </c>
      <c r="S57" s="58"/>
      <c r="U57">
        <v>7</v>
      </c>
      <c r="V57" s="64">
        <v>875.54</v>
      </c>
    </row>
    <row r="58" spans="17:22">
      <c r="Q58">
        <v>8</v>
      </c>
      <c r="R58" s="58">
        <v>1683.18</v>
      </c>
      <c r="S58" s="58"/>
      <c r="U58">
        <v>8</v>
      </c>
      <c r="V58" s="64">
        <v>875.54</v>
      </c>
    </row>
    <row r="59" spans="17:22">
      <c r="Q59">
        <v>9</v>
      </c>
      <c r="R59" s="58">
        <v>1683.18</v>
      </c>
      <c r="S59" s="58"/>
      <c r="U59">
        <v>9</v>
      </c>
      <c r="V59" s="64">
        <v>875.54</v>
      </c>
    </row>
    <row r="60" spans="17:22">
      <c r="Q60">
        <v>10</v>
      </c>
      <c r="R60" s="58">
        <v>1683.18</v>
      </c>
      <c r="S60" s="58"/>
      <c r="V60" s="64">
        <f>SUM(V51:V59)</f>
        <v>7879.87</v>
      </c>
    </row>
    <row r="61" spans="17:22">
      <c r="Q61">
        <v>11</v>
      </c>
      <c r="R61" s="58">
        <v>1683.18</v>
      </c>
      <c r="S61" s="58"/>
    </row>
    <row r="62" spans="17:22">
      <c r="Q62">
        <v>12</v>
      </c>
      <c r="R62" s="58">
        <v>1683.18</v>
      </c>
      <c r="S62" s="58"/>
    </row>
    <row r="63" spans="17:22">
      <c r="R63" s="58">
        <f>SUM(R51:R62)</f>
        <v>20198.140000000003</v>
      </c>
      <c r="S63" s="58"/>
    </row>
  </sheetData>
  <phoneticPr fontId="2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B23C-0128-47E5-B99A-A1F91C6E9E02}">
  <dimension ref="A1:AH63"/>
  <sheetViews>
    <sheetView zoomScale="90" zoomScaleNormal="90" workbookViewId="0">
      <pane xSplit="1" ySplit="1" topLeftCell="L2" activePane="bottomRight" state="frozen"/>
      <selection pane="bottomRight" activeCell="W14" sqref="W14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5.2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21" width="10.125" bestFit="1" customWidth="1"/>
    <col min="22" max="32" width="11.5" bestFit="1" customWidth="1"/>
  </cols>
  <sheetData>
    <row r="1" spans="1:34">
      <c r="A1" s="23" t="s">
        <v>92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45901</v>
      </c>
      <c r="W1" s="5">
        <v>45932</v>
      </c>
      <c r="X1" s="5">
        <v>45963</v>
      </c>
      <c r="Y1" s="5">
        <v>45994</v>
      </c>
      <c r="Z1" s="5">
        <v>46023</v>
      </c>
      <c r="AA1" s="5">
        <v>46054</v>
      </c>
      <c r="AB1" s="5">
        <v>46082</v>
      </c>
      <c r="AC1" s="5">
        <v>46113</v>
      </c>
      <c r="AD1" s="5">
        <v>46143</v>
      </c>
      <c r="AE1" s="5">
        <v>46174</v>
      </c>
      <c r="AF1" s="5">
        <v>46204</v>
      </c>
    </row>
    <row r="2" spans="1:34">
      <c r="A2" s="12" t="s">
        <v>1</v>
      </c>
      <c r="B2" s="24">
        <f>B3*160</f>
        <v>178400000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1115000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4">
      <c r="A4" s="12" t="s">
        <v>3</v>
      </c>
      <c r="B4" s="24">
        <f>B6*B5</f>
        <v>952500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/>
      <c r="U4" s="24">
        <f t="shared" ref="U4:AF4" si="1">U5*U6</f>
        <v>0</v>
      </c>
      <c r="V4" s="24">
        <f t="shared" si="1"/>
        <v>0</v>
      </c>
      <c r="W4" s="24">
        <f t="shared" si="1"/>
        <v>0</v>
      </c>
      <c r="X4" s="24">
        <f t="shared" si="1"/>
        <v>2349.4499999999998</v>
      </c>
      <c r="Y4" s="24">
        <f t="shared" si="1"/>
        <v>2348.4</v>
      </c>
      <c r="Z4" s="24">
        <f t="shared" si="1"/>
        <v>545345.48639999994</v>
      </c>
      <c r="AA4" s="24">
        <f t="shared" si="1"/>
        <v>989393.5</v>
      </c>
      <c r="AB4" s="24">
        <f t="shared" si="1"/>
        <v>1046189.1692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6350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/>
      <c r="U6" s="26">
        <v>0</v>
      </c>
      <c r="V6" s="26">
        <v>0</v>
      </c>
      <c r="W6" s="26">
        <v>0</v>
      </c>
      <c r="X6" s="26">
        <v>15</v>
      </c>
      <c r="Y6" s="26">
        <v>15</v>
      </c>
      <c r="Z6" s="26">
        <v>3549.04</v>
      </c>
      <c r="AA6" s="26">
        <v>6350</v>
      </c>
      <c r="AB6" s="26">
        <v>6543.59</v>
      </c>
      <c r="AC6" s="26"/>
      <c r="AD6" s="26"/>
      <c r="AE6" s="26"/>
      <c r="AF6" s="26"/>
    </row>
    <row r="7" spans="1:34">
      <c r="A7" s="12" t="s">
        <v>7</v>
      </c>
      <c r="B7" s="24"/>
      <c r="C7" s="24"/>
      <c r="D7" s="24"/>
      <c r="E7" s="24"/>
      <c r="F7" s="24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4"/>
      <c r="V7" s="24"/>
      <c r="W7" s="24">
        <v>1767186</v>
      </c>
      <c r="X7" s="24">
        <v>1767186</v>
      </c>
      <c r="Y7" s="24">
        <v>1767186</v>
      </c>
      <c r="Z7" s="24">
        <v>1767186</v>
      </c>
      <c r="AA7" s="24">
        <v>1767186</v>
      </c>
      <c r="AB7" s="24">
        <v>1767186</v>
      </c>
      <c r="AC7" s="24">
        <v>1767186</v>
      </c>
      <c r="AD7" s="24">
        <v>1767186</v>
      </c>
      <c r="AE7" s="24">
        <v>1767186</v>
      </c>
      <c r="AF7" s="24">
        <v>1767186</v>
      </c>
    </row>
    <row r="8" spans="1:34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4">
      <c r="A9" s="12" t="s">
        <v>9</v>
      </c>
      <c r="B9" s="24"/>
      <c r="C9" s="24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f t="shared" ref="S9" si="2">R9-S7</f>
        <v>0</v>
      </c>
      <c r="T9" s="25"/>
      <c r="U9" s="24">
        <f>S9-U7</f>
        <v>0</v>
      </c>
      <c r="V9" s="24">
        <v>126983430</v>
      </c>
      <c r="W9" s="24">
        <f t="shared" ref="W9:AF9" si="3">V9-W7</f>
        <v>125216244</v>
      </c>
      <c r="X9" s="24">
        <f t="shared" si="3"/>
        <v>123449058</v>
      </c>
      <c r="Y9" s="24">
        <f t="shared" si="3"/>
        <v>121681872</v>
      </c>
      <c r="Z9" s="24">
        <f t="shared" si="3"/>
        <v>119914686</v>
      </c>
      <c r="AA9" s="24">
        <f t="shared" si="3"/>
        <v>118147500</v>
      </c>
      <c r="AB9" s="24">
        <f t="shared" si="3"/>
        <v>116380314</v>
      </c>
      <c r="AC9" s="24">
        <f t="shared" si="3"/>
        <v>114613128</v>
      </c>
      <c r="AD9" s="24">
        <f t="shared" si="3"/>
        <v>112845942</v>
      </c>
      <c r="AE9" s="24">
        <f t="shared" si="3"/>
        <v>111078756</v>
      </c>
      <c r="AF9" s="24">
        <f t="shared" si="3"/>
        <v>109311570</v>
      </c>
    </row>
    <row r="10" spans="1:34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4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>
        <v>500</v>
      </c>
      <c r="X11" s="26">
        <v>100</v>
      </c>
      <c r="Y11" s="26">
        <v>100</v>
      </c>
      <c r="Z11" s="26">
        <v>444.5</v>
      </c>
      <c r="AA11" s="26">
        <v>444.5</v>
      </c>
      <c r="AB11" s="26">
        <v>444.5</v>
      </c>
      <c r="AC11" s="26"/>
      <c r="AD11" s="26"/>
      <c r="AE11" s="26"/>
      <c r="AF11" s="26"/>
      <c r="AG11" s="64">
        <f>SUM(C36:AF36)</f>
        <v>2033.5</v>
      </c>
      <c r="AH11" t="s">
        <v>26</v>
      </c>
    </row>
    <row r="12" spans="1:34">
      <c r="A12" s="12" t="s">
        <v>12</v>
      </c>
      <c r="B12" s="26">
        <v>57723.96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>
        <v>635.84</v>
      </c>
      <c r="X12" s="26">
        <v>1494.69</v>
      </c>
      <c r="Y12" s="26">
        <v>10050.59</v>
      </c>
      <c r="Z12" s="26">
        <v>7858.69</v>
      </c>
      <c r="AA12" s="26">
        <v>1399.22</v>
      </c>
      <c r="AB12" s="26">
        <v>1208.69</v>
      </c>
      <c r="AC12" s="26"/>
      <c r="AD12" s="26"/>
      <c r="AE12" s="26"/>
      <c r="AF12" s="26"/>
      <c r="AG12" s="64"/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0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/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2033.5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 t="e">
        <f>B13/B9</f>
        <v>#DIV/0!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4">SUM(D5*D20)</f>
        <v>0</v>
      </c>
      <c r="E19" s="31">
        <f t="shared" si="4"/>
        <v>0</v>
      </c>
      <c r="F19" s="31">
        <f t="shared" si="4"/>
        <v>0</v>
      </c>
      <c r="G19" s="31"/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  <c r="M19" s="31">
        <f t="shared" si="4"/>
        <v>0</v>
      </c>
      <c r="N19" s="31">
        <f t="shared" si="4"/>
        <v>0</v>
      </c>
      <c r="O19" s="31">
        <f t="shared" si="4"/>
        <v>0</v>
      </c>
      <c r="P19" s="31">
        <f t="shared" si="4"/>
        <v>0</v>
      </c>
      <c r="Q19" s="31">
        <f t="shared" si="4"/>
        <v>0</v>
      </c>
      <c r="R19" s="31">
        <f t="shared" si="4"/>
        <v>0</v>
      </c>
      <c r="S19" s="31">
        <f t="shared" si="4"/>
        <v>0</v>
      </c>
      <c r="T19" s="31"/>
      <c r="U19" s="31">
        <f t="shared" ref="U19:AF19" si="5">SUM(U5*U20)</f>
        <v>0</v>
      </c>
      <c r="V19" s="31">
        <f t="shared" si="5"/>
        <v>0</v>
      </c>
      <c r="W19" s="31">
        <f t="shared" si="5"/>
        <v>-175032.94400000002</v>
      </c>
      <c r="X19" s="31">
        <f t="shared" si="5"/>
        <v>-247426.84469999999</v>
      </c>
      <c r="Y19" s="31">
        <f t="shared" si="5"/>
        <v>-1586827.9704</v>
      </c>
      <c r="Z19" s="31">
        <f t="shared" si="5"/>
        <v>-730522.6889999999</v>
      </c>
      <c r="AA19" s="31">
        <f t="shared" si="5"/>
        <v>702123.48679999996</v>
      </c>
      <c r="AB19" s="31">
        <f t="shared" si="5"/>
        <v>781877.15199999989</v>
      </c>
      <c r="AC19" s="31">
        <f t="shared" si="5"/>
        <v>0</v>
      </c>
      <c r="AD19" s="31">
        <f t="shared" si="5"/>
        <v>0</v>
      </c>
      <c r="AE19" s="31">
        <f t="shared" si="5"/>
        <v>0</v>
      </c>
      <c r="AF19" s="31">
        <f t="shared" si="5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6">SUM(D6-D11-D12)</f>
        <v>0</v>
      </c>
      <c r="E20" s="33">
        <f t="shared" si="6"/>
        <v>0</v>
      </c>
      <c r="F20" s="33">
        <f t="shared" si="6"/>
        <v>0</v>
      </c>
      <c r="G20" s="33"/>
      <c r="H20" s="33">
        <f t="shared" si="6"/>
        <v>0</v>
      </c>
      <c r="I20" s="33">
        <f t="shared" si="6"/>
        <v>0</v>
      </c>
      <c r="J20" s="33">
        <f t="shared" si="6"/>
        <v>0</v>
      </c>
      <c r="K20" s="33">
        <f t="shared" si="6"/>
        <v>0</v>
      </c>
      <c r="L20" s="33">
        <f t="shared" si="6"/>
        <v>0</v>
      </c>
      <c r="M20" s="33">
        <f t="shared" si="6"/>
        <v>0</v>
      </c>
      <c r="N20" s="33">
        <f t="shared" si="6"/>
        <v>0</v>
      </c>
      <c r="O20" s="33">
        <f t="shared" si="6"/>
        <v>0</v>
      </c>
      <c r="P20" s="33">
        <f t="shared" si="6"/>
        <v>0</v>
      </c>
      <c r="Q20" s="33">
        <f t="shared" si="6"/>
        <v>0</v>
      </c>
      <c r="R20" s="33">
        <f t="shared" si="6"/>
        <v>0</v>
      </c>
      <c r="S20" s="33">
        <f t="shared" si="6"/>
        <v>0</v>
      </c>
      <c r="T20" s="33"/>
      <c r="U20" s="33">
        <f t="shared" ref="U20:AF20" si="7">SUM(U6-U11-U12)</f>
        <v>0</v>
      </c>
      <c r="V20" s="33">
        <f t="shared" si="7"/>
        <v>0</v>
      </c>
      <c r="W20" s="33">
        <f t="shared" si="7"/>
        <v>-1135.8400000000001</v>
      </c>
      <c r="X20" s="33">
        <f t="shared" si="7"/>
        <v>-1579.69</v>
      </c>
      <c r="Y20" s="33">
        <f t="shared" si="7"/>
        <v>-10135.59</v>
      </c>
      <c r="Z20" s="33">
        <f t="shared" si="7"/>
        <v>-4754.1499999999996</v>
      </c>
      <c r="AA20" s="33">
        <f t="shared" si="7"/>
        <v>4506.28</v>
      </c>
      <c r="AB20" s="33">
        <f t="shared" si="7"/>
        <v>4890.3999999999996</v>
      </c>
      <c r="AC20" s="33">
        <f t="shared" si="7"/>
        <v>0</v>
      </c>
      <c r="AD20" s="33">
        <f t="shared" si="7"/>
        <v>0</v>
      </c>
      <c r="AE20" s="33">
        <f t="shared" si="7"/>
        <v>0</v>
      </c>
      <c r="AF20" s="33">
        <f t="shared" si="7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4" spans="1:32">
      <c r="A24" s="12" t="s">
        <v>23</v>
      </c>
      <c r="B24" s="67">
        <v>46311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91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5">
        <v>45900</v>
      </c>
      <c r="V26" s="5">
        <v>45901</v>
      </c>
      <c r="W26" s="5">
        <v>45932</v>
      </c>
      <c r="X26" s="5">
        <v>45963</v>
      </c>
      <c r="Y26" s="5">
        <v>45994</v>
      </c>
      <c r="Z26" s="5">
        <v>46023</v>
      </c>
      <c r="AA26" s="5">
        <v>46054</v>
      </c>
      <c r="AB26" s="5">
        <v>46082</v>
      </c>
      <c r="AC26" s="5">
        <v>46113</v>
      </c>
      <c r="AD26" s="5">
        <v>46143</v>
      </c>
      <c r="AE26" s="5">
        <v>46174</v>
      </c>
      <c r="AF26" s="5">
        <v>46204</v>
      </c>
    </row>
    <row r="27" spans="1:32">
      <c r="A27" s="12" t="s">
        <v>1</v>
      </c>
      <c r="B27" s="24">
        <f>B28*160</f>
        <v>178400000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f>B3</f>
        <v>1115000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8">H30*H31</f>
        <v>0</v>
      </c>
      <c r="I29" s="24">
        <f t="shared" si="8"/>
        <v>0</v>
      </c>
      <c r="J29" s="24">
        <f t="shared" si="8"/>
        <v>0</v>
      </c>
      <c r="K29" s="24">
        <f t="shared" si="8"/>
        <v>0</v>
      </c>
      <c r="L29" s="24">
        <f t="shared" si="8"/>
        <v>0</v>
      </c>
      <c r="M29" s="24">
        <f t="shared" si="8"/>
        <v>0</v>
      </c>
      <c r="N29" s="24">
        <f t="shared" si="8"/>
        <v>0</v>
      </c>
      <c r="O29" s="24">
        <f t="shared" si="8"/>
        <v>0</v>
      </c>
      <c r="P29" s="24">
        <f t="shared" si="8"/>
        <v>0</v>
      </c>
      <c r="Q29" s="24">
        <f t="shared" si="8"/>
        <v>0</v>
      </c>
      <c r="R29" s="24">
        <f t="shared" si="8"/>
        <v>0</v>
      </c>
      <c r="S29" s="24">
        <f t="shared" si="8"/>
        <v>0</v>
      </c>
      <c r="T29" s="24"/>
      <c r="U29" s="24">
        <f t="shared" ref="U29:AF29" si="9">U30*U31</f>
        <v>0</v>
      </c>
      <c r="V29" s="24">
        <f t="shared" si="9"/>
        <v>0</v>
      </c>
      <c r="W29" s="24">
        <f t="shared" si="9"/>
        <v>0</v>
      </c>
      <c r="X29" s="24">
        <f t="shared" si="9"/>
        <v>2349.4499999999998</v>
      </c>
      <c r="Y29" s="24">
        <f t="shared" si="9"/>
        <v>2348.4</v>
      </c>
      <c r="Z29" s="24">
        <f t="shared" si="9"/>
        <v>545345.48639999994</v>
      </c>
      <c r="AA29" s="24">
        <f t="shared" si="9"/>
        <v>989393.5</v>
      </c>
      <c r="AB29" s="24">
        <f t="shared" si="9"/>
        <v>1046189.1692</v>
      </c>
      <c r="AC29" s="24">
        <f t="shared" si="9"/>
        <v>0</v>
      </c>
      <c r="AD29" s="24">
        <f t="shared" si="9"/>
        <v>0</v>
      </c>
      <c r="AE29" s="24">
        <f t="shared" si="9"/>
        <v>0</v>
      </c>
      <c r="AF29" s="24">
        <f t="shared" si="9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15</v>
      </c>
      <c r="Y31" s="26">
        <v>15</v>
      </c>
      <c r="Z31" s="26">
        <v>3549.04</v>
      </c>
      <c r="AA31" s="26">
        <v>6350</v>
      </c>
      <c r="AB31" s="26">
        <v>6543.59</v>
      </c>
      <c r="AC31" s="26"/>
      <c r="AD31" s="26"/>
      <c r="AE31" s="26"/>
      <c r="AF31" s="26"/>
    </row>
    <row r="32" spans="1:32">
      <c r="A32" s="12" t="s">
        <v>7</v>
      </c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/>
      <c r="C34" s="24"/>
      <c r="D34" s="24"/>
      <c r="E34" s="24"/>
      <c r="F34" s="24"/>
      <c r="G34" s="25"/>
      <c r="H34" s="24"/>
      <c r="I34" s="24">
        <f>B34-I32</f>
        <v>0</v>
      </c>
      <c r="J34" s="24">
        <f t="shared" ref="J34:S34" si="10">I34-J32</f>
        <v>0</v>
      </c>
      <c r="K34" s="24">
        <f t="shared" si="10"/>
        <v>0</v>
      </c>
      <c r="L34" s="24">
        <f t="shared" si="10"/>
        <v>0</v>
      </c>
      <c r="M34" s="24">
        <f t="shared" si="10"/>
        <v>0</v>
      </c>
      <c r="N34" s="24">
        <f t="shared" si="10"/>
        <v>0</v>
      </c>
      <c r="O34" s="24">
        <f t="shared" si="10"/>
        <v>0</v>
      </c>
      <c r="P34" s="24">
        <f t="shared" si="10"/>
        <v>0</v>
      </c>
      <c r="Q34" s="24">
        <f t="shared" si="10"/>
        <v>0</v>
      </c>
      <c r="R34" s="24">
        <f t="shared" si="10"/>
        <v>0</v>
      </c>
      <c r="S34" s="24">
        <f t="shared" si="10"/>
        <v>0</v>
      </c>
      <c r="T34" s="25"/>
      <c r="U34" s="24">
        <f>S34-U32</f>
        <v>0</v>
      </c>
      <c r="V34" s="24">
        <f>U34-V32</f>
        <v>0</v>
      </c>
      <c r="W34" s="24">
        <f t="shared" ref="W34:AF34" si="11">V34-W32</f>
        <v>0</v>
      </c>
      <c r="X34" s="24">
        <f t="shared" si="11"/>
        <v>0</v>
      </c>
      <c r="Y34" s="24">
        <f t="shared" si="11"/>
        <v>0</v>
      </c>
      <c r="Z34" s="24">
        <f t="shared" si="11"/>
        <v>0</v>
      </c>
      <c r="AA34" s="24">
        <f t="shared" si="11"/>
        <v>0</v>
      </c>
      <c r="AB34" s="24">
        <f t="shared" si="11"/>
        <v>0</v>
      </c>
      <c r="AC34" s="24">
        <f t="shared" si="11"/>
        <v>0</v>
      </c>
      <c r="AD34" s="24">
        <f t="shared" si="11"/>
        <v>0</v>
      </c>
      <c r="AE34" s="24">
        <f t="shared" si="11"/>
        <v>0</v>
      </c>
      <c r="AF34" s="24">
        <f t="shared" si="11"/>
        <v>0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>
        <v>500</v>
      </c>
      <c r="X36" s="26">
        <v>100</v>
      </c>
      <c r="Y36" s="26">
        <v>100</v>
      </c>
      <c r="Z36" s="26">
        <v>444.5</v>
      </c>
      <c r="AA36" s="26">
        <v>444.5</v>
      </c>
      <c r="AB36" s="26">
        <v>444.5</v>
      </c>
      <c r="AC36" s="26"/>
      <c r="AD36" s="26"/>
      <c r="AE36" s="26"/>
      <c r="AF36" s="26"/>
    </row>
    <row r="37" spans="1:32">
      <c r="A37" s="12" t="s">
        <v>12</v>
      </c>
      <c r="B37" s="26">
        <v>57723.96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U37" s="26"/>
      <c r="V37" s="26"/>
      <c r="W37" s="26">
        <v>635.84</v>
      </c>
      <c r="X37" s="26">
        <v>1494.69</v>
      </c>
      <c r="Y37" s="26">
        <v>2754.39</v>
      </c>
      <c r="Z37" s="64">
        <v>9317.93</v>
      </c>
      <c r="AA37" s="64">
        <v>2858.46</v>
      </c>
      <c r="AB37" s="64">
        <v>1459.24</v>
      </c>
      <c r="AC37" s="64">
        <v>1459.24</v>
      </c>
      <c r="AD37" s="64">
        <v>1459.24</v>
      </c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 t="e">
        <f>B38/B34</f>
        <v>#DIV/0!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12">SUM(D30*D45)</f>
        <v>0</v>
      </c>
      <c r="E44" s="31">
        <f t="shared" si="12"/>
        <v>0</v>
      </c>
      <c r="F44" s="31">
        <f t="shared" si="12"/>
        <v>0</v>
      </c>
      <c r="G44" s="31"/>
      <c r="H44" s="31">
        <f t="shared" ref="H44:S44" si="13">SUM(H30*H45)</f>
        <v>0</v>
      </c>
      <c r="I44" s="31">
        <f t="shared" si="13"/>
        <v>0</v>
      </c>
      <c r="J44" s="31">
        <f t="shared" si="13"/>
        <v>0</v>
      </c>
      <c r="K44" s="31">
        <f t="shared" si="13"/>
        <v>0</v>
      </c>
      <c r="L44" s="31">
        <f t="shared" si="13"/>
        <v>0</v>
      </c>
      <c r="M44" s="31">
        <f t="shared" si="13"/>
        <v>0</v>
      </c>
      <c r="N44" s="31">
        <f t="shared" si="13"/>
        <v>0</v>
      </c>
      <c r="O44" s="31">
        <f t="shared" si="13"/>
        <v>0</v>
      </c>
      <c r="P44" s="31">
        <f t="shared" si="13"/>
        <v>0</v>
      </c>
      <c r="Q44" s="31">
        <f t="shared" si="13"/>
        <v>0</v>
      </c>
      <c r="R44" s="31">
        <f t="shared" si="13"/>
        <v>0</v>
      </c>
      <c r="S44" s="31">
        <f t="shared" si="13"/>
        <v>0</v>
      </c>
      <c r="T44" s="31"/>
      <c r="U44" s="31">
        <f t="shared" ref="U44:AF44" si="14">SUM(U30*U45)</f>
        <v>0</v>
      </c>
      <c r="V44" s="31">
        <f t="shared" si="14"/>
        <v>0</v>
      </c>
      <c r="W44" s="31">
        <f t="shared" si="14"/>
        <v>-175032.94400000002</v>
      </c>
      <c r="X44" s="31">
        <f t="shared" si="14"/>
        <v>-247426.84469999999</v>
      </c>
      <c r="Y44" s="31">
        <f t="shared" si="14"/>
        <v>-444534.89840000001</v>
      </c>
      <c r="Z44" s="31">
        <f t="shared" si="14"/>
        <v>-954749.5074</v>
      </c>
      <c r="AA44" s="31">
        <f t="shared" si="14"/>
        <v>474759.30239999999</v>
      </c>
      <c r="AB44" s="31">
        <f t="shared" si="14"/>
        <v>741819.21799999999</v>
      </c>
      <c r="AC44" s="31">
        <f t="shared" si="14"/>
        <v>-234047.50359999997</v>
      </c>
      <c r="AD44" s="31">
        <f t="shared" si="14"/>
        <v>0</v>
      </c>
      <c r="AE44" s="31">
        <f t="shared" si="14"/>
        <v>0</v>
      </c>
      <c r="AF44" s="31">
        <f t="shared" si="14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15">SUM(D31-D36-D37)</f>
        <v>0</v>
      </c>
      <c r="E45" s="33">
        <f t="shared" si="15"/>
        <v>0</v>
      </c>
      <c r="F45" s="33">
        <f t="shared" si="15"/>
        <v>0</v>
      </c>
      <c r="G45" s="33"/>
      <c r="H45" s="33">
        <f t="shared" ref="H45:S45" si="16">SUM(H31-H36-H37)</f>
        <v>0</v>
      </c>
      <c r="I45" s="33">
        <f t="shared" si="16"/>
        <v>0</v>
      </c>
      <c r="J45" s="33">
        <f t="shared" si="16"/>
        <v>0</v>
      </c>
      <c r="K45" s="33">
        <f t="shared" si="16"/>
        <v>0</v>
      </c>
      <c r="L45" s="33">
        <f t="shared" si="16"/>
        <v>0</v>
      </c>
      <c r="M45" s="33">
        <f t="shared" si="16"/>
        <v>0</v>
      </c>
      <c r="N45" s="33">
        <f t="shared" si="16"/>
        <v>0</v>
      </c>
      <c r="O45" s="33">
        <f t="shared" si="16"/>
        <v>0</v>
      </c>
      <c r="P45" s="33">
        <f t="shared" si="16"/>
        <v>0</v>
      </c>
      <c r="Q45" s="33">
        <f t="shared" si="16"/>
        <v>0</v>
      </c>
      <c r="R45" s="33">
        <f t="shared" si="16"/>
        <v>0</v>
      </c>
      <c r="S45" s="33">
        <f t="shared" si="16"/>
        <v>0</v>
      </c>
      <c r="T45" s="33"/>
      <c r="U45" s="33">
        <f t="shared" ref="U45:AF45" si="17">SUM(U31-U36-U37)</f>
        <v>0</v>
      </c>
      <c r="V45" s="33">
        <f t="shared" si="17"/>
        <v>0</v>
      </c>
      <c r="W45" s="33">
        <f t="shared" si="17"/>
        <v>-1135.8400000000001</v>
      </c>
      <c r="X45" s="33">
        <f t="shared" si="17"/>
        <v>-1579.69</v>
      </c>
      <c r="Y45" s="33">
        <f t="shared" si="17"/>
        <v>-2839.39</v>
      </c>
      <c r="Z45" s="33">
        <f t="shared" si="17"/>
        <v>-6213.39</v>
      </c>
      <c r="AA45" s="33">
        <f t="shared" si="17"/>
        <v>3047.04</v>
      </c>
      <c r="AB45" s="33">
        <f t="shared" si="17"/>
        <v>4639.8500000000004</v>
      </c>
      <c r="AC45" s="33">
        <f t="shared" si="17"/>
        <v>-1459.24</v>
      </c>
      <c r="AD45" s="33">
        <f t="shared" si="17"/>
        <v>-1459.24</v>
      </c>
      <c r="AE45" s="33">
        <f t="shared" si="17"/>
        <v>0</v>
      </c>
      <c r="AF45" s="33">
        <f t="shared" si="17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7:24">
      <c r="R50" s="58">
        <v>20198.14</v>
      </c>
      <c r="S50" s="58"/>
      <c r="V50" s="64">
        <v>7879.87</v>
      </c>
      <c r="X50" s="47">
        <v>8755.4699999999993</v>
      </c>
    </row>
    <row r="51" spans="17:24">
      <c r="Q51">
        <v>1</v>
      </c>
      <c r="R51" s="58">
        <v>1683.16</v>
      </c>
      <c r="S51" s="58"/>
      <c r="U51">
        <v>1</v>
      </c>
      <c r="V51" s="64">
        <v>875.55</v>
      </c>
      <c r="X51">
        <v>1459.27</v>
      </c>
    </row>
    <row r="52" spans="17:24">
      <c r="Q52">
        <v>2</v>
      </c>
      <c r="R52" s="58">
        <v>1683.18</v>
      </c>
      <c r="S52" s="58"/>
      <c r="U52">
        <v>2</v>
      </c>
      <c r="V52" s="64">
        <v>875.54</v>
      </c>
      <c r="X52">
        <v>1459.24</v>
      </c>
    </row>
    <row r="53" spans="17:24">
      <c r="Q53">
        <v>3</v>
      </c>
      <c r="R53" s="58">
        <v>1683.18</v>
      </c>
      <c r="S53" s="58"/>
      <c r="U53">
        <v>3</v>
      </c>
      <c r="V53" s="64">
        <v>875.54</v>
      </c>
      <c r="X53">
        <v>1459.24</v>
      </c>
    </row>
    <row r="54" spans="17:24">
      <c r="Q54">
        <v>4</v>
      </c>
      <c r="R54" s="58">
        <v>1683.18</v>
      </c>
      <c r="S54" s="58"/>
      <c r="U54">
        <v>4</v>
      </c>
      <c r="V54" s="64">
        <v>875.54</v>
      </c>
      <c r="X54">
        <v>1459.24</v>
      </c>
    </row>
    <row r="55" spans="17:24">
      <c r="Q55">
        <v>5</v>
      </c>
      <c r="R55" s="58">
        <v>1683.18</v>
      </c>
      <c r="S55" s="58"/>
      <c r="U55">
        <v>5</v>
      </c>
      <c r="V55" s="64">
        <v>875.54</v>
      </c>
      <c r="X55">
        <v>1459.24</v>
      </c>
    </row>
    <row r="56" spans="17:24">
      <c r="Q56">
        <v>6</v>
      </c>
      <c r="R56" s="58">
        <v>1683.18</v>
      </c>
      <c r="S56" s="58"/>
      <c r="U56">
        <v>6</v>
      </c>
      <c r="V56" s="64">
        <v>875.54</v>
      </c>
      <c r="X56">
        <v>1459.24</v>
      </c>
    </row>
    <row r="57" spans="17:24">
      <c r="Q57">
        <v>7</v>
      </c>
      <c r="R57" s="58">
        <v>1683.18</v>
      </c>
      <c r="S57" s="58"/>
      <c r="U57">
        <v>7</v>
      </c>
      <c r="V57" s="64">
        <v>875.54</v>
      </c>
      <c r="X57" s="47">
        <f>SUM(X51:X56)</f>
        <v>8755.4699999999993</v>
      </c>
    </row>
    <row r="58" spans="17:24">
      <c r="Q58">
        <v>8</v>
      </c>
      <c r="R58" s="58">
        <v>1683.18</v>
      </c>
      <c r="S58" s="58"/>
      <c r="U58">
        <v>8</v>
      </c>
      <c r="V58" s="64">
        <v>875.54</v>
      </c>
    </row>
    <row r="59" spans="17:24">
      <c r="Q59">
        <v>9</v>
      </c>
      <c r="R59" s="58">
        <v>1683.18</v>
      </c>
      <c r="S59" s="58"/>
      <c r="U59">
        <v>9</v>
      </c>
      <c r="V59" s="64">
        <v>875.54</v>
      </c>
    </row>
    <row r="60" spans="17:24">
      <c r="Q60">
        <v>10</v>
      </c>
      <c r="R60" s="58">
        <v>1683.18</v>
      </c>
      <c r="S60" s="58"/>
      <c r="V60" s="64">
        <f>SUM(V51:V59)</f>
        <v>7879.87</v>
      </c>
    </row>
    <row r="61" spans="17:24">
      <c r="Q61">
        <v>11</v>
      </c>
      <c r="R61" s="58">
        <v>1683.18</v>
      </c>
      <c r="S61" s="58"/>
    </row>
    <row r="62" spans="17:24">
      <c r="Q62">
        <v>12</v>
      </c>
      <c r="R62" s="58">
        <v>1683.18</v>
      </c>
      <c r="S62" s="58"/>
    </row>
    <row r="63" spans="17:24">
      <c r="R63" s="58">
        <f>SUM(R51:R62)</f>
        <v>20198.140000000003</v>
      </c>
      <c r="S63" s="58"/>
    </row>
  </sheetData>
  <phoneticPr fontId="2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5C62-A5C4-4FD4-B750-10B082565A9B}">
  <dimension ref="A1:AG63"/>
  <sheetViews>
    <sheetView zoomScale="90" zoomScaleNormal="90" workbookViewId="0">
      <pane xSplit="1" ySplit="1" topLeftCell="K11" activePane="bottomRight" state="frozen"/>
      <selection pane="bottomRight" activeCell="AC38" sqref="AC38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22" width="10.125" bestFit="1" customWidth="1"/>
    <col min="23" max="25" width="11.25" bestFit="1" customWidth="1"/>
    <col min="26" max="32" width="10.125" bestFit="1" customWidth="1"/>
  </cols>
  <sheetData>
    <row r="1" spans="1:33">
      <c r="A1" s="23" t="s">
        <v>93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10">
        <v>45991</v>
      </c>
      <c r="Y1" s="10">
        <v>46022</v>
      </c>
      <c r="Z1" s="5">
        <v>46053</v>
      </c>
      <c r="AA1" s="5">
        <v>46081</v>
      </c>
      <c r="AB1" s="5">
        <v>46112</v>
      </c>
      <c r="AC1" s="5">
        <v>46142</v>
      </c>
      <c r="AD1" s="5">
        <v>46173</v>
      </c>
      <c r="AE1" s="5">
        <v>46203</v>
      </c>
      <c r="AF1" s="5">
        <v>46234</v>
      </c>
    </row>
    <row r="2" spans="1:33">
      <c r="A2" s="12" t="s">
        <v>1</v>
      </c>
      <c r="B2" s="24">
        <f>B3*160</f>
        <v>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3">
      <c r="A3" s="12" t="s">
        <v>2</v>
      </c>
      <c r="B3" s="24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3">
      <c r="A4" s="12" t="s">
        <v>3</v>
      </c>
      <c r="B4" s="24">
        <f>B6*B5</f>
        <v>975000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/>
      <c r="U4" s="24">
        <f t="shared" ref="U4:AF4" si="1">U5*U6</f>
        <v>954979.99999999988</v>
      </c>
      <c r="V4" s="24">
        <f t="shared" si="1"/>
        <v>967720</v>
      </c>
      <c r="W4" s="24">
        <f t="shared" si="1"/>
        <v>1002425.1229999999</v>
      </c>
      <c r="X4" s="24">
        <f t="shared" si="1"/>
        <v>1024330.4403</v>
      </c>
      <c r="Y4" s="24">
        <f t="shared" si="1"/>
        <v>1023464.032</v>
      </c>
      <c r="Z4" s="24">
        <f t="shared" si="1"/>
        <v>1005457.3074</v>
      </c>
      <c r="AA4" s="24">
        <f t="shared" si="1"/>
        <v>1012765</v>
      </c>
      <c r="AB4" s="24">
        <f t="shared" si="1"/>
        <v>1067625.8795999999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3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3">
      <c r="A6" s="12" t="s">
        <v>6</v>
      </c>
      <c r="B6" s="26">
        <v>6500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/>
      <c r="U6" s="26">
        <v>6500</v>
      </c>
      <c r="V6" s="26">
        <v>6500</v>
      </c>
      <c r="W6" s="26">
        <v>6505.03</v>
      </c>
      <c r="X6" s="26">
        <v>6539.81</v>
      </c>
      <c r="Y6" s="26">
        <v>6537.2</v>
      </c>
      <c r="Z6" s="26">
        <v>6543.39</v>
      </c>
      <c r="AA6" s="26">
        <v>6500</v>
      </c>
      <c r="AB6" s="26">
        <v>6677.67</v>
      </c>
      <c r="AC6" s="26"/>
      <c r="AD6" s="26"/>
      <c r="AE6" s="26"/>
      <c r="AF6" s="26"/>
    </row>
    <row r="7" spans="1:33">
      <c r="A7" s="12" t="s">
        <v>7</v>
      </c>
      <c r="B7" s="24"/>
      <c r="C7" s="24"/>
      <c r="D7" s="24"/>
      <c r="E7" s="24"/>
      <c r="F7" s="24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4">
        <v>1964723</v>
      </c>
      <c r="V7" s="24">
        <v>1964723</v>
      </c>
      <c r="W7" s="24">
        <v>1964723</v>
      </c>
      <c r="X7" s="24">
        <v>1964723</v>
      </c>
      <c r="Y7" s="24">
        <v>1964723</v>
      </c>
      <c r="Z7" s="24">
        <v>1964725</v>
      </c>
      <c r="AA7" s="24">
        <v>1964723</v>
      </c>
      <c r="AB7" s="24">
        <v>1964723</v>
      </c>
      <c r="AC7" s="24">
        <v>1964723</v>
      </c>
      <c r="AD7" s="24">
        <v>1964723</v>
      </c>
      <c r="AE7" s="24">
        <v>1964723</v>
      </c>
      <c r="AF7" s="24">
        <v>1964726</v>
      </c>
    </row>
    <row r="8" spans="1:33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3">
      <c r="A9" s="12" t="s">
        <v>9</v>
      </c>
      <c r="B9" s="24"/>
      <c r="C9" s="24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v>84118399</v>
      </c>
      <c r="T9" s="25"/>
      <c r="U9" s="24">
        <f>S9-U7</f>
        <v>82153676</v>
      </c>
      <c r="V9" s="24">
        <f>U9-V7</f>
        <v>80188953</v>
      </c>
      <c r="W9" s="24">
        <f t="shared" ref="W9:AF9" si="2">V9-W7</f>
        <v>78224230</v>
      </c>
      <c r="X9" s="24">
        <f t="shared" si="2"/>
        <v>76259507</v>
      </c>
      <c r="Y9" s="24">
        <f t="shared" si="2"/>
        <v>74294784</v>
      </c>
      <c r="Z9" s="24">
        <f t="shared" si="2"/>
        <v>72330059</v>
      </c>
      <c r="AA9" s="24">
        <f t="shared" si="2"/>
        <v>70365336</v>
      </c>
      <c r="AB9" s="24">
        <f t="shared" si="2"/>
        <v>68400613</v>
      </c>
      <c r="AC9" s="24">
        <f t="shared" si="2"/>
        <v>66435890</v>
      </c>
      <c r="AD9" s="24">
        <f t="shared" si="2"/>
        <v>64471167</v>
      </c>
      <c r="AE9" s="24">
        <f t="shared" si="2"/>
        <v>62506444</v>
      </c>
      <c r="AF9" s="24">
        <f t="shared" si="2"/>
        <v>60541718</v>
      </c>
    </row>
    <row r="10" spans="1:33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3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>
        <v>455</v>
      </c>
      <c r="V11" s="26">
        <v>455</v>
      </c>
      <c r="W11" s="26">
        <v>455</v>
      </c>
      <c r="X11" s="26">
        <v>455</v>
      </c>
      <c r="Y11" s="26">
        <v>455</v>
      </c>
      <c r="Z11" s="26">
        <v>455</v>
      </c>
      <c r="AA11" s="26">
        <v>455</v>
      </c>
      <c r="AB11" s="26">
        <v>455</v>
      </c>
      <c r="AC11" s="26"/>
      <c r="AD11" s="26"/>
      <c r="AE11" s="26"/>
      <c r="AF11" s="26"/>
      <c r="AG11" s="64"/>
    </row>
    <row r="12" spans="1:33">
      <c r="A12" s="12" t="s">
        <v>12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>
        <v>3864.43</v>
      </c>
      <c r="V12" s="26">
        <v>1402.27</v>
      </c>
      <c r="W12" s="26">
        <v>4394.58</v>
      </c>
      <c r="X12" s="26">
        <v>2084.21</v>
      </c>
      <c r="Y12" s="26">
        <v>1393.6</v>
      </c>
      <c r="Z12" s="26">
        <v>1434.61</v>
      </c>
      <c r="AA12" s="26">
        <v>740</v>
      </c>
      <c r="AB12" s="26">
        <v>1491.85</v>
      </c>
      <c r="AC12" s="26"/>
      <c r="AD12" s="26"/>
      <c r="AE12" s="26"/>
      <c r="AF12" s="26"/>
      <c r="AG12" s="64"/>
    </row>
    <row r="13" spans="1:33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/>
    </row>
    <row r="14" spans="1:33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/>
    </row>
    <row r="15" spans="1:33">
      <c r="A15" s="12" t="s">
        <v>15</v>
      </c>
      <c r="B15" s="29" t="e">
        <f>B13/B2</f>
        <v>#DIV/0!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/>
    </row>
    <row r="16" spans="1:33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 t="e">
        <f>B13/B9</f>
        <v>#DIV/0!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3">SUM(D5*D20)</f>
        <v>0</v>
      </c>
      <c r="E19" s="31">
        <f t="shared" si="3"/>
        <v>0</v>
      </c>
      <c r="F19" s="31">
        <f t="shared" si="3"/>
        <v>0</v>
      </c>
      <c r="G19" s="31"/>
      <c r="H19" s="31">
        <f t="shared" si="3"/>
        <v>0</v>
      </c>
      <c r="I19" s="31">
        <f t="shared" si="3"/>
        <v>0</v>
      </c>
      <c r="J19" s="31">
        <f t="shared" si="3"/>
        <v>0</v>
      </c>
      <c r="K19" s="31">
        <f t="shared" si="3"/>
        <v>0</v>
      </c>
      <c r="L19" s="31">
        <f t="shared" si="3"/>
        <v>0</v>
      </c>
      <c r="M19" s="31">
        <f t="shared" si="3"/>
        <v>0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0</v>
      </c>
      <c r="T19" s="31"/>
      <c r="U19" s="31">
        <f t="shared" ref="U19:AF19" si="4">SUM(U5*U20)</f>
        <v>320369.3444</v>
      </c>
      <c r="V19" s="31">
        <f t="shared" si="4"/>
        <v>691209.6423999999</v>
      </c>
      <c r="W19" s="31">
        <f t="shared" si="4"/>
        <v>255104.84499999997</v>
      </c>
      <c r="X19" s="31">
        <f t="shared" si="4"/>
        <v>626613.978</v>
      </c>
      <c r="Y19" s="31">
        <f t="shared" si="4"/>
        <v>734047.21600000001</v>
      </c>
      <c r="Z19" s="31">
        <f t="shared" si="4"/>
        <v>715099.83480000007</v>
      </c>
      <c r="AA19" s="31">
        <f t="shared" si="4"/>
        <v>826572.05</v>
      </c>
      <c r="AB19" s="31">
        <f t="shared" si="4"/>
        <v>756363.50159999996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5">SUM(D6-D11-D12)</f>
        <v>0</v>
      </c>
      <c r="E20" s="33">
        <f t="shared" si="5"/>
        <v>0</v>
      </c>
      <c r="F20" s="33">
        <f t="shared" si="5"/>
        <v>0</v>
      </c>
      <c r="G20" s="33"/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  <c r="P20" s="33">
        <f t="shared" si="5"/>
        <v>0</v>
      </c>
      <c r="Q20" s="33">
        <f t="shared" si="5"/>
        <v>0</v>
      </c>
      <c r="R20" s="33">
        <f t="shared" si="5"/>
        <v>0</v>
      </c>
      <c r="S20" s="33">
        <f t="shared" si="5"/>
        <v>0</v>
      </c>
      <c r="T20" s="33"/>
      <c r="U20" s="33">
        <f t="shared" ref="U20:AF20" si="6">SUM(U6-U11-U12)</f>
        <v>2180.5700000000002</v>
      </c>
      <c r="V20" s="33">
        <f t="shared" si="6"/>
        <v>4642.7299999999996</v>
      </c>
      <c r="W20" s="33">
        <f t="shared" si="6"/>
        <v>1655.4499999999998</v>
      </c>
      <c r="X20" s="33">
        <f t="shared" si="6"/>
        <v>4000.6000000000004</v>
      </c>
      <c r="Y20" s="33">
        <f t="shared" si="6"/>
        <v>4688.6000000000004</v>
      </c>
      <c r="Z20" s="33">
        <f t="shared" si="6"/>
        <v>4653.7800000000007</v>
      </c>
      <c r="AA20" s="33">
        <f t="shared" si="6"/>
        <v>5305</v>
      </c>
      <c r="AB20" s="33">
        <f t="shared" si="6"/>
        <v>4730.82</v>
      </c>
      <c r="AC20" s="33">
        <f t="shared" si="6"/>
        <v>0</v>
      </c>
      <c r="AD20" s="33">
        <f t="shared" si="6"/>
        <v>0</v>
      </c>
      <c r="AE20" s="33">
        <f t="shared" si="6"/>
        <v>0</v>
      </c>
      <c r="AF20" s="33">
        <f t="shared" si="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91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5">
        <v>45900</v>
      </c>
      <c r="V26" s="5">
        <v>45930</v>
      </c>
      <c r="W26" s="10">
        <v>45961</v>
      </c>
      <c r="X26" s="10">
        <v>45991</v>
      </c>
      <c r="Y26" s="10">
        <v>46022</v>
      </c>
      <c r="Z26" s="5">
        <v>46053</v>
      </c>
      <c r="AA26" s="5">
        <v>46081</v>
      </c>
      <c r="AB26" s="5">
        <v>46112</v>
      </c>
      <c r="AC26" s="5">
        <v>46142</v>
      </c>
      <c r="AD26" s="5">
        <v>46173</v>
      </c>
      <c r="AE26" s="5">
        <v>46203</v>
      </c>
      <c r="AF26" s="5">
        <v>46234</v>
      </c>
    </row>
    <row r="27" spans="1:32">
      <c r="A27" s="12" t="s">
        <v>1</v>
      </c>
      <c r="B27" s="24">
        <f>B28*160</f>
        <v>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7">H30*H31</f>
        <v>0</v>
      </c>
      <c r="I29" s="24">
        <f t="shared" si="7"/>
        <v>0</v>
      </c>
      <c r="J29" s="24">
        <f t="shared" si="7"/>
        <v>0</v>
      </c>
      <c r="K29" s="24">
        <f t="shared" si="7"/>
        <v>0</v>
      </c>
      <c r="L29" s="24">
        <f t="shared" si="7"/>
        <v>0</v>
      </c>
      <c r="M29" s="24">
        <f t="shared" si="7"/>
        <v>0</v>
      </c>
      <c r="N29" s="24">
        <f t="shared" si="7"/>
        <v>0</v>
      </c>
      <c r="O29" s="24">
        <f t="shared" si="7"/>
        <v>0</v>
      </c>
      <c r="P29" s="24">
        <f t="shared" si="7"/>
        <v>0</v>
      </c>
      <c r="Q29" s="24">
        <f t="shared" si="7"/>
        <v>0</v>
      </c>
      <c r="R29" s="24">
        <f t="shared" si="7"/>
        <v>0</v>
      </c>
      <c r="S29" s="24">
        <f t="shared" si="7"/>
        <v>0</v>
      </c>
      <c r="T29" s="24"/>
      <c r="U29" s="24">
        <f t="shared" ref="U29:AF29" si="8">U30*U31</f>
        <v>954979.99999999988</v>
      </c>
      <c r="V29" s="24">
        <f t="shared" si="8"/>
        <v>967720</v>
      </c>
      <c r="W29" s="24">
        <f t="shared" si="8"/>
        <v>1002425.1229999999</v>
      </c>
      <c r="X29" s="24">
        <f t="shared" si="8"/>
        <v>1024330.4403</v>
      </c>
      <c r="Y29" s="24">
        <f t="shared" si="8"/>
        <v>1023464.032</v>
      </c>
      <c r="Z29" s="24">
        <f t="shared" si="8"/>
        <v>1005457.3074</v>
      </c>
      <c r="AA29" s="24">
        <f t="shared" si="8"/>
        <v>1012765</v>
      </c>
      <c r="AB29" s="24">
        <f t="shared" si="8"/>
        <v>1067625.8795999999</v>
      </c>
      <c r="AC29" s="24">
        <f t="shared" si="8"/>
        <v>0</v>
      </c>
      <c r="AD29" s="24">
        <f t="shared" si="8"/>
        <v>0</v>
      </c>
      <c r="AE29" s="24">
        <f t="shared" si="8"/>
        <v>0</v>
      </c>
      <c r="AF29" s="24">
        <f t="shared" si="8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>
        <v>6500</v>
      </c>
      <c r="V31" s="26">
        <v>6500</v>
      </c>
      <c r="W31" s="26">
        <v>6505.03</v>
      </c>
      <c r="X31" s="26">
        <v>6539.81</v>
      </c>
      <c r="Y31" s="26">
        <v>6537.2</v>
      </c>
      <c r="Z31" s="26">
        <v>6543.39</v>
      </c>
      <c r="AA31" s="26">
        <v>6500</v>
      </c>
      <c r="AB31" s="26">
        <v>6677.67</v>
      </c>
      <c r="AC31" s="26"/>
      <c r="AD31" s="26"/>
      <c r="AE31" s="26"/>
      <c r="AF31" s="26"/>
    </row>
    <row r="32" spans="1:32">
      <c r="A32" s="12" t="s">
        <v>7</v>
      </c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4">
        <v>1964723</v>
      </c>
      <c r="V32" s="24">
        <v>1964723</v>
      </c>
      <c r="W32" s="24">
        <v>1964723</v>
      </c>
      <c r="X32" s="24">
        <v>1964723</v>
      </c>
      <c r="Y32" s="24">
        <v>1964723</v>
      </c>
      <c r="Z32" s="24">
        <v>1964725</v>
      </c>
      <c r="AA32" s="24">
        <v>1964723</v>
      </c>
      <c r="AB32" s="24">
        <v>1964723</v>
      </c>
      <c r="AC32" s="24">
        <v>1964723</v>
      </c>
      <c r="AD32" s="24">
        <v>1964723</v>
      </c>
      <c r="AE32" s="24">
        <v>1964723</v>
      </c>
      <c r="AF32" s="24">
        <v>1964726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/>
      <c r="C34" s="24"/>
      <c r="D34" s="24"/>
      <c r="E34" s="24"/>
      <c r="F34" s="24"/>
      <c r="G34" s="25"/>
      <c r="H34" s="24"/>
      <c r="I34" s="24">
        <f>B34-I32</f>
        <v>0</v>
      </c>
      <c r="J34" s="24">
        <f t="shared" ref="J34:R34" si="9">I34-J32</f>
        <v>0</v>
      </c>
      <c r="K34" s="24">
        <f t="shared" si="9"/>
        <v>0</v>
      </c>
      <c r="L34" s="24">
        <f t="shared" si="9"/>
        <v>0</v>
      </c>
      <c r="M34" s="24">
        <f t="shared" si="9"/>
        <v>0</v>
      </c>
      <c r="N34" s="24">
        <f t="shared" si="9"/>
        <v>0</v>
      </c>
      <c r="O34" s="24">
        <f t="shared" si="9"/>
        <v>0</v>
      </c>
      <c r="P34" s="24">
        <f t="shared" si="9"/>
        <v>0</v>
      </c>
      <c r="Q34" s="24">
        <f t="shared" si="9"/>
        <v>0</v>
      </c>
      <c r="R34" s="24">
        <f t="shared" si="9"/>
        <v>0</v>
      </c>
      <c r="S34" s="24">
        <v>84118399</v>
      </c>
      <c r="T34" s="25"/>
      <c r="U34" s="24">
        <f>S34-U32</f>
        <v>82153676</v>
      </c>
      <c r="V34" s="24">
        <f>U34-V32</f>
        <v>80188953</v>
      </c>
      <c r="W34" s="24">
        <f t="shared" ref="W34:AF34" si="10">V34-W32</f>
        <v>78224230</v>
      </c>
      <c r="X34" s="24">
        <f t="shared" si="10"/>
        <v>76259507</v>
      </c>
      <c r="Y34" s="24">
        <f t="shared" si="10"/>
        <v>74294784</v>
      </c>
      <c r="Z34" s="24">
        <f t="shared" si="10"/>
        <v>72330059</v>
      </c>
      <c r="AA34" s="24">
        <f t="shared" si="10"/>
        <v>70365336</v>
      </c>
      <c r="AB34" s="24">
        <f t="shared" si="10"/>
        <v>68400613</v>
      </c>
      <c r="AC34" s="24">
        <f t="shared" si="10"/>
        <v>66435890</v>
      </c>
      <c r="AD34" s="24">
        <f t="shared" si="10"/>
        <v>64471167</v>
      </c>
      <c r="AE34" s="24">
        <f t="shared" si="10"/>
        <v>62506444</v>
      </c>
      <c r="AF34" s="24">
        <f t="shared" si="10"/>
        <v>60541718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>
        <v>455</v>
      </c>
      <c r="V36" s="26">
        <v>455</v>
      </c>
      <c r="W36" s="26">
        <v>455</v>
      </c>
      <c r="X36" s="26">
        <v>455</v>
      </c>
      <c r="Y36" s="26">
        <v>455</v>
      </c>
      <c r="Z36" s="26">
        <v>455</v>
      </c>
      <c r="AA36" s="26">
        <v>455</v>
      </c>
      <c r="AB36" s="26">
        <v>455</v>
      </c>
      <c r="AC36" s="26"/>
      <c r="AD36" s="26"/>
      <c r="AE36" s="26"/>
      <c r="AF36" s="26"/>
    </row>
    <row r="37" spans="1:32">
      <c r="A37" s="12" t="s">
        <v>12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U37" s="26">
        <v>3864.43</v>
      </c>
      <c r="V37" s="26">
        <v>1402.27</v>
      </c>
      <c r="W37" s="26">
        <v>4394.58</v>
      </c>
      <c r="X37" s="26">
        <v>2084.21</v>
      </c>
      <c r="Y37" s="26">
        <v>1393.6</v>
      </c>
      <c r="Z37" s="26">
        <v>1434.61</v>
      </c>
      <c r="AA37" s="26">
        <v>740</v>
      </c>
      <c r="AB37" s="26">
        <v>740</v>
      </c>
      <c r="AC37" s="26"/>
      <c r="AD37" s="26"/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 t="e">
        <f>B38/B27</f>
        <v>#DIV/0!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 t="e">
        <f>B38/B34</f>
        <v>#DIV/0!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11">SUM(D30*D45)</f>
        <v>0</v>
      </c>
      <c r="E44" s="31">
        <f t="shared" si="11"/>
        <v>0</v>
      </c>
      <c r="F44" s="31">
        <f t="shared" si="11"/>
        <v>0</v>
      </c>
      <c r="G44" s="31"/>
      <c r="H44" s="31">
        <f t="shared" ref="H44:S44" si="12">SUM(H30*H45)</f>
        <v>0</v>
      </c>
      <c r="I44" s="31">
        <f t="shared" si="12"/>
        <v>0</v>
      </c>
      <c r="J44" s="31">
        <f t="shared" si="12"/>
        <v>0</v>
      </c>
      <c r="K44" s="31">
        <f t="shared" si="12"/>
        <v>0</v>
      </c>
      <c r="L44" s="31">
        <f t="shared" si="12"/>
        <v>0</v>
      </c>
      <c r="M44" s="31">
        <f t="shared" si="12"/>
        <v>0</v>
      </c>
      <c r="N44" s="31">
        <f t="shared" si="12"/>
        <v>0</v>
      </c>
      <c r="O44" s="31">
        <f t="shared" si="12"/>
        <v>0</v>
      </c>
      <c r="P44" s="31">
        <f t="shared" si="12"/>
        <v>0</v>
      </c>
      <c r="Q44" s="31">
        <f t="shared" si="12"/>
        <v>0</v>
      </c>
      <c r="R44" s="31">
        <f t="shared" si="12"/>
        <v>0</v>
      </c>
      <c r="S44" s="31">
        <f t="shared" si="12"/>
        <v>0</v>
      </c>
      <c r="T44" s="31"/>
      <c r="U44" s="31">
        <f t="shared" ref="U44:AF44" si="13">SUM(U30*U45)</f>
        <v>320369.3444</v>
      </c>
      <c r="V44" s="31">
        <f t="shared" si="13"/>
        <v>691209.6423999999</v>
      </c>
      <c r="W44" s="31">
        <f t="shared" si="13"/>
        <v>255104.84499999997</v>
      </c>
      <c r="X44" s="31">
        <f t="shared" si="13"/>
        <v>626613.978</v>
      </c>
      <c r="Y44" s="31">
        <f t="shared" si="13"/>
        <v>734047.21600000001</v>
      </c>
      <c r="Z44" s="31">
        <f t="shared" si="13"/>
        <v>715099.83480000007</v>
      </c>
      <c r="AA44" s="31">
        <f t="shared" si="13"/>
        <v>826572.05</v>
      </c>
      <c r="AB44" s="31">
        <f t="shared" si="13"/>
        <v>876569.27960000001</v>
      </c>
      <c r="AC44" s="31">
        <f t="shared" si="13"/>
        <v>0</v>
      </c>
      <c r="AD44" s="31">
        <f t="shared" si="13"/>
        <v>0</v>
      </c>
      <c r="AE44" s="31">
        <f t="shared" si="13"/>
        <v>0</v>
      </c>
      <c r="AF44" s="31">
        <f t="shared" si="13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14">SUM(D31-D36-D37)</f>
        <v>0</v>
      </c>
      <c r="E45" s="33">
        <f t="shared" si="14"/>
        <v>0</v>
      </c>
      <c r="F45" s="33">
        <f t="shared" si="14"/>
        <v>0</v>
      </c>
      <c r="G45" s="33"/>
      <c r="H45" s="33">
        <f t="shared" ref="H45:S45" si="15">SUM(H31-H36-H37)</f>
        <v>0</v>
      </c>
      <c r="I45" s="33">
        <f t="shared" si="15"/>
        <v>0</v>
      </c>
      <c r="J45" s="33">
        <f t="shared" si="15"/>
        <v>0</v>
      </c>
      <c r="K45" s="33">
        <f t="shared" si="15"/>
        <v>0</v>
      </c>
      <c r="L45" s="33">
        <f t="shared" si="15"/>
        <v>0</v>
      </c>
      <c r="M45" s="33">
        <f t="shared" si="15"/>
        <v>0</v>
      </c>
      <c r="N45" s="33">
        <f t="shared" si="15"/>
        <v>0</v>
      </c>
      <c r="O45" s="33">
        <f t="shared" si="15"/>
        <v>0</v>
      </c>
      <c r="P45" s="33">
        <f t="shared" si="15"/>
        <v>0</v>
      </c>
      <c r="Q45" s="33">
        <f t="shared" si="15"/>
        <v>0</v>
      </c>
      <c r="R45" s="33">
        <f t="shared" si="15"/>
        <v>0</v>
      </c>
      <c r="S45" s="33">
        <f t="shared" si="15"/>
        <v>0</v>
      </c>
      <c r="T45" s="33"/>
      <c r="U45" s="33">
        <f t="shared" ref="U45:AF45" si="16">SUM(U31-U36-U37)</f>
        <v>2180.5700000000002</v>
      </c>
      <c r="V45" s="33">
        <f t="shared" si="16"/>
        <v>4642.7299999999996</v>
      </c>
      <c r="W45" s="33">
        <f t="shared" si="16"/>
        <v>1655.4499999999998</v>
      </c>
      <c r="X45" s="33">
        <f t="shared" si="16"/>
        <v>4000.6000000000004</v>
      </c>
      <c r="Y45" s="33">
        <f t="shared" si="16"/>
        <v>4688.6000000000004</v>
      </c>
      <c r="Z45" s="33">
        <f t="shared" si="16"/>
        <v>4653.7800000000007</v>
      </c>
      <c r="AA45" s="33">
        <f t="shared" si="16"/>
        <v>5305</v>
      </c>
      <c r="AB45" s="33">
        <f t="shared" si="16"/>
        <v>5482.67</v>
      </c>
      <c r="AC45" s="33">
        <f t="shared" si="16"/>
        <v>0</v>
      </c>
      <c r="AD45" s="33">
        <f t="shared" si="16"/>
        <v>0</v>
      </c>
      <c r="AE45" s="33">
        <f t="shared" si="16"/>
        <v>0</v>
      </c>
      <c r="AF45" s="33">
        <f t="shared" si="16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8:19">
      <c r="R50" s="58"/>
      <c r="S50" s="58"/>
    </row>
    <row r="51" spans="18:19">
      <c r="R51" s="58"/>
      <c r="S51" s="58"/>
    </row>
    <row r="52" spans="18:19">
      <c r="R52" s="58"/>
      <c r="S52" s="58"/>
    </row>
    <row r="53" spans="18:19">
      <c r="R53" s="58"/>
      <c r="S53" s="58"/>
    </row>
    <row r="54" spans="18:19">
      <c r="R54" s="58"/>
      <c r="S54" s="58"/>
    </row>
    <row r="55" spans="18:19">
      <c r="R55" s="58"/>
      <c r="S55" s="58"/>
    </row>
    <row r="56" spans="18:19">
      <c r="R56" s="58"/>
      <c r="S56" s="58"/>
    </row>
    <row r="57" spans="18:19">
      <c r="R57" s="58"/>
      <c r="S57" s="58"/>
    </row>
    <row r="58" spans="18:19">
      <c r="R58" s="58"/>
      <c r="S58" s="58"/>
    </row>
    <row r="59" spans="18:19">
      <c r="R59" s="58"/>
      <c r="S59" s="58"/>
    </row>
    <row r="60" spans="18:19">
      <c r="R60" s="58"/>
      <c r="S60" s="58"/>
    </row>
    <row r="61" spans="18:19">
      <c r="R61" s="58"/>
      <c r="S61" s="58"/>
    </row>
    <row r="62" spans="18:19">
      <c r="R62" s="58"/>
      <c r="S62" s="58"/>
    </row>
    <row r="63" spans="18:19">
      <c r="R63" s="58"/>
      <c r="S63" s="58"/>
    </row>
  </sheetData>
  <phoneticPr fontId="2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D37F-5C48-4A58-A816-48C54AFB6C03}">
  <dimension ref="A1:AG63"/>
  <sheetViews>
    <sheetView zoomScale="90" zoomScaleNormal="90" workbookViewId="0">
      <pane xSplit="1" ySplit="1" topLeftCell="N2" activePane="bottomRight" state="frozen"/>
      <selection pane="bottomRight" activeCell="AB12" sqref="AB12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22" width="11.5" bestFit="1" customWidth="1"/>
    <col min="23" max="25" width="11.25" bestFit="1" customWidth="1"/>
    <col min="26" max="32" width="10.125" bestFit="1" customWidth="1"/>
  </cols>
  <sheetData>
    <row r="1" spans="1:33">
      <c r="A1" s="23" t="s">
        <v>94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10">
        <v>45991</v>
      </c>
      <c r="Y1" s="10">
        <v>46022</v>
      </c>
      <c r="Z1" s="5">
        <v>46053</v>
      </c>
      <c r="AA1" s="5">
        <v>46081</v>
      </c>
      <c r="AB1" s="5">
        <v>46112</v>
      </c>
      <c r="AC1" s="5">
        <v>46142</v>
      </c>
      <c r="AD1" s="5">
        <v>46173</v>
      </c>
      <c r="AE1" s="5">
        <v>46203</v>
      </c>
      <c r="AF1" s="5">
        <v>46234</v>
      </c>
    </row>
    <row r="2" spans="1:33">
      <c r="A2" s="12" t="s">
        <v>1</v>
      </c>
      <c r="B2" s="24">
        <f>B3*160</f>
        <v>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3">
      <c r="A3" s="12" t="s">
        <v>2</v>
      </c>
      <c r="B3" s="24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4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3">
      <c r="A4" s="12" t="s">
        <v>3</v>
      </c>
      <c r="B4" s="24">
        <f>B6*B5</f>
        <v>705000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/>
      <c r="U4" s="24">
        <f t="shared" ref="U4:AF4" si="1">U5*U6</f>
        <v>675832</v>
      </c>
      <c r="V4" s="24">
        <f t="shared" si="1"/>
        <v>684848</v>
      </c>
      <c r="W4" s="24">
        <f t="shared" si="1"/>
        <v>708860</v>
      </c>
      <c r="X4" s="24">
        <f t="shared" si="1"/>
        <v>720498</v>
      </c>
      <c r="Y4" s="24">
        <f t="shared" si="1"/>
        <v>735832</v>
      </c>
      <c r="Z4" s="24">
        <f t="shared" si="1"/>
        <v>25095.751199999999</v>
      </c>
      <c r="AA4" s="24">
        <f t="shared" si="1"/>
        <v>2337.15</v>
      </c>
      <c r="AB4" s="24">
        <f t="shared" si="1"/>
        <v>628656.15399999998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3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3" s="64" customFormat="1">
      <c r="A6" s="63" t="s">
        <v>6</v>
      </c>
      <c r="B6" s="26">
        <v>4700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/>
      <c r="U6" s="26">
        <v>4600</v>
      </c>
      <c r="V6" s="26">
        <v>4600</v>
      </c>
      <c r="W6" s="26">
        <v>4600</v>
      </c>
      <c r="X6" s="26">
        <v>4600</v>
      </c>
      <c r="Y6" s="26">
        <v>4700</v>
      </c>
      <c r="Z6" s="26">
        <v>163.32</v>
      </c>
      <c r="AA6" s="26">
        <v>15</v>
      </c>
      <c r="AB6" s="26">
        <v>3932.05</v>
      </c>
      <c r="AC6" s="26"/>
      <c r="AD6" s="26"/>
      <c r="AE6" s="26"/>
      <c r="AF6" s="26"/>
    </row>
    <row r="7" spans="1:33">
      <c r="A7" s="12" t="s">
        <v>7</v>
      </c>
      <c r="B7" s="24"/>
      <c r="C7" s="24"/>
      <c r="D7" s="24"/>
      <c r="E7" s="24"/>
      <c r="F7" s="24"/>
      <c r="G7" s="2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24">
        <v>1927576</v>
      </c>
      <c r="V7" s="24">
        <v>1927576</v>
      </c>
      <c r="W7" s="24">
        <v>1927576</v>
      </c>
      <c r="X7" s="24">
        <v>1927576</v>
      </c>
      <c r="Y7" s="24">
        <v>1927576</v>
      </c>
      <c r="Z7" s="24">
        <v>1927578</v>
      </c>
      <c r="AA7" s="24">
        <v>1927576</v>
      </c>
      <c r="AB7" s="24">
        <v>1927576</v>
      </c>
      <c r="AC7" s="24">
        <v>1927576</v>
      </c>
      <c r="AD7" s="24">
        <v>1927576</v>
      </c>
      <c r="AE7" s="24">
        <v>1927576</v>
      </c>
      <c r="AF7" s="24">
        <v>1927579</v>
      </c>
    </row>
    <row r="8" spans="1:33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3">
      <c r="A9" s="12" t="s">
        <v>9</v>
      </c>
      <c r="B9" s="24"/>
      <c r="C9" s="24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v>111522419</v>
      </c>
      <c r="T9" s="25"/>
      <c r="U9" s="24">
        <f>S9-U7</f>
        <v>109594843</v>
      </c>
      <c r="V9" s="24">
        <f>U9-V7</f>
        <v>107667267</v>
      </c>
      <c r="W9" s="24">
        <f t="shared" ref="W9:AF9" si="2">V9-W7</f>
        <v>105739691</v>
      </c>
      <c r="X9" s="24">
        <f t="shared" si="2"/>
        <v>103812115</v>
      </c>
      <c r="Y9" s="24">
        <f t="shared" si="2"/>
        <v>101884539</v>
      </c>
      <c r="Z9" s="24">
        <f t="shared" si="2"/>
        <v>99956961</v>
      </c>
      <c r="AA9" s="24">
        <f t="shared" si="2"/>
        <v>98029385</v>
      </c>
      <c r="AB9" s="24">
        <f t="shared" si="2"/>
        <v>96101809</v>
      </c>
      <c r="AC9" s="24">
        <f t="shared" si="2"/>
        <v>94174233</v>
      </c>
      <c r="AD9" s="24">
        <f t="shared" si="2"/>
        <v>92246657</v>
      </c>
      <c r="AE9" s="24">
        <f t="shared" si="2"/>
        <v>90319081</v>
      </c>
      <c r="AF9" s="24">
        <f t="shared" si="2"/>
        <v>88391502</v>
      </c>
    </row>
    <row r="10" spans="1:33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3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>
        <v>368</v>
      </c>
      <c r="V11" s="26">
        <v>322</v>
      </c>
      <c r="W11" s="26">
        <v>322</v>
      </c>
      <c r="X11" s="26">
        <v>322</v>
      </c>
      <c r="Y11" s="26">
        <v>329</v>
      </c>
      <c r="Z11" s="26">
        <v>164.5</v>
      </c>
      <c r="AA11" s="26">
        <v>164.5</v>
      </c>
      <c r="AB11" s="26">
        <v>364</v>
      </c>
      <c r="AC11" s="26"/>
      <c r="AD11" s="26"/>
      <c r="AE11" s="26"/>
      <c r="AF11" s="26"/>
      <c r="AG11" s="64"/>
    </row>
    <row r="12" spans="1:33">
      <c r="A12" s="12" t="s">
        <v>12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>
        <v>897.96</v>
      </c>
      <c r="V12" s="26">
        <v>866.35</v>
      </c>
      <c r="W12" s="26">
        <v>866.35</v>
      </c>
      <c r="X12" s="26">
        <v>866.35</v>
      </c>
      <c r="Y12" s="26">
        <v>866.35</v>
      </c>
      <c r="Z12" s="26">
        <v>866.35</v>
      </c>
      <c r="AA12" s="26">
        <v>7551.85</v>
      </c>
      <c r="AB12" s="26">
        <v>6586.76</v>
      </c>
      <c r="AC12" s="26"/>
      <c r="AD12" s="26"/>
      <c r="AE12" s="26"/>
      <c r="AF12" s="26"/>
      <c r="AG12" s="64"/>
    </row>
    <row r="13" spans="1:33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/>
    </row>
    <row r="14" spans="1:33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/>
    </row>
    <row r="15" spans="1:33">
      <c r="A15" s="12" t="s">
        <v>15</v>
      </c>
      <c r="B15" s="29" t="e">
        <f>B13/B2</f>
        <v>#DIV/0!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/>
    </row>
    <row r="16" spans="1:33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 t="e">
        <f>B13/B9</f>
        <v>#DIV/0!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3">SUM(D5*D20)</f>
        <v>0</v>
      </c>
      <c r="E19" s="31">
        <f t="shared" si="3"/>
        <v>0</v>
      </c>
      <c r="F19" s="31">
        <f t="shared" si="3"/>
        <v>0</v>
      </c>
      <c r="G19" s="31"/>
      <c r="H19" s="31">
        <f t="shared" si="3"/>
        <v>0</v>
      </c>
      <c r="I19" s="31">
        <f t="shared" si="3"/>
        <v>0</v>
      </c>
      <c r="J19" s="31">
        <f t="shared" si="3"/>
        <v>0</v>
      </c>
      <c r="K19" s="31">
        <f t="shared" si="3"/>
        <v>0</v>
      </c>
      <c r="L19" s="31">
        <f t="shared" si="3"/>
        <v>0</v>
      </c>
      <c r="M19" s="31">
        <f t="shared" si="3"/>
        <v>0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0</v>
      </c>
      <c r="T19" s="31"/>
      <c r="U19" s="31">
        <f t="shared" ref="U19:AF19" si="4">SUM(U5*U20)</f>
        <v>489837.15679999994</v>
      </c>
      <c r="V19" s="31">
        <f t="shared" si="4"/>
        <v>507926.45199999999</v>
      </c>
      <c r="W19" s="31">
        <f t="shared" si="4"/>
        <v>525735.26500000001</v>
      </c>
      <c r="X19" s="31">
        <f t="shared" si="4"/>
        <v>534366.73950000003</v>
      </c>
      <c r="Y19" s="31">
        <f t="shared" si="4"/>
        <v>548688.00400000007</v>
      </c>
      <c r="Z19" s="31">
        <f t="shared" si="4"/>
        <v>-133304.65979999999</v>
      </c>
      <c r="AA19" s="31">
        <f t="shared" si="4"/>
        <v>-1199947.3435</v>
      </c>
      <c r="AB19" s="31">
        <f t="shared" si="4"/>
        <v>-482631.35479999997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5">SUM(D6-D11-D12)</f>
        <v>0</v>
      </c>
      <c r="E20" s="33">
        <f t="shared" si="5"/>
        <v>0</v>
      </c>
      <c r="F20" s="33">
        <f t="shared" si="5"/>
        <v>0</v>
      </c>
      <c r="G20" s="33"/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  <c r="P20" s="33">
        <f t="shared" si="5"/>
        <v>0</v>
      </c>
      <c r="Q20" s="33">
        <f t="shared" si="5"/>
        <v>0</v>
      </c>
      <c r="R20" s="33">
        <f t="shared" si="5"/>
        <v>0</v>
      </c>
      <c r="S20" s="33">
        <f t="shared" si="5"/>
        <v>0</v>
      </c>
      <c r="T20" s="33"/>
      <c r="U20" s="33">
        <f t="shared" ref="U20:AF20" si="6">SUM(U6-U11-U12)</f>
        <v>3334.04</v>
      </c>
      <c r="V20" s="33">
        <f t="shared" si="6"/>
        <v>3411.65</v>
      </c>
      <c r="W20" s="33">
        <f t="shared" si="6"/>
        <v>3411.65</v>
      </c>
      <c r="X20" s="33">
        <f t="shared" si="6"/>
        <v>3411.65</v>
      </c>
      <c r="Y20" s="33">
        <f t="shared" si="6"/>
        <v>3504.65</v>
      </c>
      <c r="Z20" s="33">
        <f t="shared" si="6"/>
        <v>-867.53</v>
      </c>
      <c r="AA20" s="33">
        <f t="shared" si="6"/>
        <v>-7701.35</v>
      </c>
      <c r="AB20" s="33">
        <f t="shared" si="6"/>
        <v>-3018.71</v>
      </c>
      <c r="AC20" s="33">
        <f t="shared" si="6"/>
        <v>0</v>
      </c>
      <c r="AD20" s="33">
        <f t="shared" si="6"/>
        <v>0</v>
      </c>
      <c r="AE20" s="33">
        <f t="shared" si="6"/>
        <v>0</v>
      </c>
      <c r="AF20" s="33">
        <f t="shared" si="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4" spans="1:32">
      <c r="A24" s="12" t="s">
        <v>23</v>
      </c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91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496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5">
        <v>45900</v>
      </c>
      <c r="V26" s="5">
        <v>45930</v>
      </c>
      <c r="W26" s="10">
        <v>45961</v>
      </c>
      <c r="X26" s="10">
        <v>45991</v>
      </c>
      <c r="Y26" s="10">
        <v>46022</v>
      </c>
      <c r="Z26" s="5">
        <v>46053</v>
      </c>
      <c r="AA26" s="5">
        <v>46081</v>
      </c>
      <c r="AB26" s="5">
        <v>46112</v>
      </c>
      <c r="AC26" s="5">
        <v>46142</v>
      </c>
      <c r="AD26" s="5">
        <v>46173</v>
      </c>
      <c r="AE26" s="5">
        <v>46203</v>
      </c>
      <c r="AF26" s="5">
        <v>46234</v>
      </c>
    </row>
    <row r="27" spans="1:32">
      <c r="A27" s="12" t="s">
        <v>1</v>
      </c>
      <c r="B27" s="24">
        <f>B28*160</f>
        <v>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7">H30*H31</f>
        <v>0</v>
      </c>
      <c r="I29" s="24">
        <f t="shared" si="7"/>
        <v>0</v>
      </c>
      <c r="J29" s="24">
        <f t="shared" si="7"/>
        <v>0</v>
      </c>
      <c r="K29" s="24">
        <f t="shared" si="7"/>
        <v>0</v>
      </c>
      <c r="L29" s="24">
        <f t="shared" si="7"/>
        <v>0</v>
      </c>
      <c r="M29" s="24">
        <f t="shared" si="7"/>
        <v>0</v>
      </c>
      <c r="N29" s="24">
        <f t="shared" si="7"/>
        <v>0</v>
      </c>
      <c r="O29" s="24">
        <f t="shared" si="7"/>
        <v>0</v>
      </c>
      <c r="P29" s="24">
        <f t="shared" si="7"/>
        <v>0</v>
      </c>
      <c r="Q29" s="24">
        <f t="shared" si="7"/>
        <v>0</v>
      </c>
      <c r="R29" s="24">
        <f t="shared" si="7"/>
        <v>0</v>
      </c>
      <c r="S29" s="24">
        <f t="shared" si="7"/>
        <v>0</v>
      </c>
      <c r="T29" s="24"/>
      <c r="U29" s="24">
        <f t="shared" ref="U29:AF29" si="8">U30*U31</f>
        <v>675832</v>
      </c>
      <c r="V29" s="24">
        <f t="shared" si="8"/>
        <v>684848</v>
      </c>
      <c r="W29" s="24">
        <f t="shared" si="8"/>
        <v>708860</v>
      </c>
      <c r="X29" s="24">
        <f t="shared" si="8"/>
        <v>720498</v>
      </c>
      <c r="Y29" s="24">
        <f t="shared" si="8"/>
        <v>735832</v>
      </c>
      <c r="Z29" s="24">
        <f t="shared" si="8"/>
        <v>25095.751199999999</v>
      </c>
      <c r="AA29" s="24">
        <f t="shared" si="8"/>
        <v>2337.15</v>
      </c>
      <c r="AB29" s="24">
        <f t="shared" si="8"/>
        <v>0</v>
      </c>
      <c r="AC29" s="24">
        <f t="shared" si="8"/>
        <v>0</v>
      </c>
      <c r="AD29" s="24">
        <f t="shared" si="8"/>
        <v>0</v>
      </c>
      <c r="AE29" s="24">
        <f t="shared" si="8"/>
        <v>0</v>
      </c>
      <c r="AF29" s="24">
        <f t="shared" si="8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64" customFormat="1">
      <c r="A31" s="63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>
        <v>4600</v>
      </c>
      <c r="V31" s="26">
        <v>4600</v>
      </c>
      <c r="W31" s="26">
        <v>4600</v>
      </c>
      <c r="X31" s="26">
        <v>4600</v>
      </c>
      <c r="Y31" s="26">
        <v>4700</v>
      </c>
      <c r="Z31" s="26">
        <v>163.32</v>
      </c>
      <c r="AA31" s="26">
        <v>15</v>
      </c>
      <c r="AB31" s="26"/>
      <c r="AC31" s="26"/>
      <c r="AD31" s="26"/>
      <c r="AE31" s="26"/>
      <c r="AF31" s="26"/>
    </row>
    <row r="32" spans="1:32">
      <c r="A32" s="12" t="s">
        <v>7</v>
      </c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4">
        <v>1927576</v>
      </c>
      <c r="V32" s="24">
        <v>1927576</v>
      </c>
      <c r="W32" s="24">
        <v>1927576</v>
      </c>
      <c r="X32" s="24">
        <v>1927576</v>
      </c>
      <c r="Y32" s="24">
        <v>1927576</v>
      </c>
      <c r="Z32" s="24">
        <v>1927578</v>
      </c>
      <c r="AA32" s="24">
        <v>1927576</v>
      </c>
      <c r="AB32" s="24">
        <v>1927576</v>
      </c>
      <c r="AC32" s="24">
        <v>1927576</v>
      </c>
      <c r="AD32" s="24">
        <v>1927576</v>
      </c>
      <c r="AE32" s="24">
        <v>1927576</v>
      </c>
      <c r="AF32" s="24">
        <v>1927579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/>
      <c r="C34" s="24"/>
      <c r="D34" s="24"/>
      <c r="E34" s="24"/>
      <c r="F34" s="24"/>
      <c r="G34" s="25"/>
      <c r="H34" s="24"/>
      <c r="I34" s="24">
        <f>B34-I32</f>
        <v>0</v>
      </c>
      <c r="J34" s="24">
        <f t="shared" ref="J34:R34" si="9">I34-J32</f>
        <v>0</v>
      </c>
      <c r="K34" s="24">
        <f t="shared" si="9"/>
        <v>0</v>
      </c>
      <c r="L34" s="24">
        <f t="shared" si="9"/>
        <v>0</v>
      </c>
      <c r="M34" s="24">
        <f t="shared" si="9"/>
        <v>0</v>
      </c>
      <c r="N34" s="24">
        <f t="shared" si="9"/>
        <v>0</v>
      </c>
      <c r="O34" s="24">
        <f t="shared" si="9"/>
        <v>0</v>
      </c>
      <c r="P34" s="24">
        <f t="shared" si="9"/>
        <v>0</v>
      </c>
      <c r="Q34" s="24">
        <f t="shared" si="9"/>
        <v>0</v>
      </c>
      <c r="R34" s="24">
        <f t="shared" si="9"/>
        <v>0</v>
      </c>
      <c r="S34" s="24">
        <v>111522419</v>
      </c>
      <c r="T34" s="25"/>
      <c r="U34" s="24">
        <f>S34-U32</f>
        <v>109594843</v>
      </c>
      <c r="V34" s="24">
        <f>U34-V32</f>
        <v>107667267</v>
      </c>
      <c r="W34" s="24">
        <f t="shared" ref="W34:AF34" si="10">V34-W32</f>
        <v>105739691</v>
      </c>
      <c r="X34" s="24">
        <f t="shared" si="10"/>
        <v>103812115</v>
      </c>
      <c r="Y34" s="24">
        <f t="shared" si="10"/>
        <v>101884539</v>
      </c>
      <c r="Z34" s="24">
        <f t="shared" si="10"/>
        <v>99956961</v>
      </c>
      <c r="AA34" s="24">
        <f t="shared" si="10"/>
        <v>98029385</v>
      </c>
      <c r="AB34" s="24">
        <f t="shared" si="10"/>
        <v>96101809</v>
      </c>
      <c r="AC34" s="24">
        <f t="shared" si="10"/>
        <v>94174233</v>
      </c>
      <c r="AD34" s="24">
        <f t="shared" si="10"/>
        <v>92246657</v>
      </c>
      <c r="AE34" s="24">
        <f t="shared" si="10"/>
        <v>90319081</v>
      </c>
      <c r="AF34" s="24">
        <f t="shared" si="10"/>
        <v>88391502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>
        <v>368</v>
      </c>
      <c r="V36" s="26">
        <v>322</v>
      </c>
      <c r="W36" s="26">
        <v>322</v>
      </c>
      <c r="X36" s="26">
        <v>322</v>
      </c>
      <c r="Y36" s="26">
        <v>329</v>
      </c>
      <c r="Z36" s="26">
        <v>164.5</v>
      </c>
      <c r="AA36" s="26">
        <v>164.5</v>
      </c>
      <c r="AB36" s="26"/>
      <c r="AC36" s="26"/>
      <c r="AD36" s="26"/>
      <c r="AE36" s="26"/>
      <c r="AF36" s="26"/>
    </row>
    <row r="37" spans="1:32">
      <c r="A37" s="12" t="s">
        <v>12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U37" s="26">
        <v>897.96</v>
      </c>
      <c r="V37" s="26">
        <v>866.35</v>
      </c>
      <c r="W37" s="26">
        <v>866.35</v>
      </c>
      <c r="X37" s="26">
        <v>866.35</v>
      </c>
      <c r="Y37" s="26">
        <v>866.35</v>
      </c>
      <c r="Z37" s="26">
        <v>866.35</v>
      </c>
      <c r="AA37" s="26">
        <v>7551.85</v>
      </c>
      <c r="AB37" s="26"/>
      <c r="AC37" s="26"/>
      <c r="AD37" s="26"/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 t="e">
        <f>B38/B27</f>
        <v>#DIV/0!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 t="e">
        <f>B38/B34</f>
        <v>#DIV/0!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11">SUM(D30*D45)</f>
        <v>0</v>
      </c>
      <c r="E44" s="31">
        <f t="shared" si="11"/>
        <v>0</v>
      </c>
      <c r="F44" s="31">
        <f t="shared" si="11"/>
        <v>0</v>
      </c>
      <c r="G44" s="31"/>
      <c r="H44" s="31">
        <f t="shared" ref="H44:S44" si="12">SUM(H30*H45)</f>
        <v>0</v>
      </c>
      <c r="I44" s="31">
        <f t="shared" si="12"/>
        <v>0</v>
      </c>
      <c r="J44" s="31">
        <f t="shared" si="12"/>
        <v>0</v>
      </c>
      <c r="K44" s="31">
        <f t="shared" si="12"/>
        <v>0</v>
      </c>
      <c r="L44" s="31">
        <f t="shared" si="12"/>
        <v>0</v>
      </c>
      <c r="M44" s="31">
        <f t="shared" si="12"/>
        <v>0</v>
      </c>
      <c r="N44" s="31">
        <f t="shared" si="12"/>
        <v>0</v>
      </c>
      <c r="O44" s="31">
        <f t="shared" si="12"/>
        <v>0</v>
      </c>
      <c r="P44" s="31">
        <f t="shared" si="12"/>
        <v>0</v>
      </c>
      <c r="Q44" s="31">
        <f t="shared" si="12"/>
        <v>0</v>
      </c>
      <c r="R44" s="31">
        <f t="shared" si="12"/>
        <v>0</v>
      </c>
      <c r="S44" s="31">
        <f t="shared" si="12"/>
        <v>0</v>
      </c>
      <c r="T44" s="31"/>
      <c r="U44" s="31">
        <f t="shared" ref="U44:AF44" si="13">SUM(U30*U45)</f>
        <v>489837.15679999994</v>
      </c>
      <c r="V44" s="31">
        <f t="shared" si="13"/>
        <v>507926.45199999999</v>
      </c>
      <c r="W44" s="31">
        <f t="shared" si="13"/>
        <v>525735.26500000001</v>
      </c>
      <c r="X44" s="31">
        <f t="shared" si="13"/>
        <v>534366.73950000003</v>
      </c>
      <c r="Y44" s="31">
        <f t="shared" si="13"/>
        <v>548688.00400000007</v>
      </c>
      <c r="Z44" s="31">
        <f t="shared" si="13"/>
        <v>-133304.65979999999</v>
      </c>
      <c r="AA44" s="31">
        <f t="shared" si="13"/>
        <v>-1199947.3435</v>
      </c>
      <c r="AB44" s="31">
        <f t="shared" si="13"/>
        <v>0</v>
      </c>
      <c r="AC44" s="31">
        <f t="shared" si="13"/>
        <v>0</v>
      </c>
      <c r="AD44" s="31">
        <f t="shared" si="13"/>
        <v>0</v>
      </c>
      <c r="AE44" s="31">
        <f t="shared" si="13"/>
        <v>0</v>
      </c>
      <c r="AF44" s="31">
        <f t="shared" si="13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14">SUM(D31-D36-D37)</f>
        <v>0</v>
      </c>
      <c r="E45" s="33">
        <f t="shared" si="14"/>
        <v>0</v>
      </c>
      <c r="F45" s="33">
        <f t="shared" si="14"/>
        <v>0</v>
      </c>
      <c r="G45" s="33"/>
      <c r="H45" s="33">
        <f t="shared" ref="H45:S45" si="15">SUM(H31-H36-H37)</f>
        <v>0</v>
      </c>
      <c r="I45" s="33">
        <f t="shared" si="15"/>
        <v>0</v>
      </c>
      <c r="J45" s="33">
        <f t="shared" si="15"/>
        <v>0</v>
      </c>
      <c r="K45" s="33">
        <f t="shared" si="15"/>
        <v>0</v>
      </c>
      <c r="L45" s="33">
        <f t="shared" si="15"/>
        <v>0</v>
      </c>
      <c r="M45" s="33">
        <f t="shared" si="15"/>
        <v>0</v>
      </c>
      <c r="N45" s="33">
        <f t="shared" si="15"/>
        <v>0</v>
      </c>
      <c r="O45" s="33">
        <f t="shared" si="15"/>
        <v>0</v>
      </c>
      <c r="P45" s="33">
        <f t="shared" si="15"/>
        <v>0</v>
      </c>
      <c r="Q45" s="33">
        <f t="shared" si="15"/>
        <v>0</v>
      </c>
      <c r="R45" s="33">
        <f t="shared" si="15"/>
        <v>0</v>
      </c>
      <c r="S45" s="33">
        <f t="shared" si="15"/>
        <v>0</v>
      </c>
      <c r="T45" s="33"/>
      <c r="U45" s="33">
        <f t="shared" ref="U45:AF45" si="16">SUM(U31-U36-U37)</f>
        <v>3334.04</v>
      </c>
      <c r="V45" s="33">
        <f t="shared" si="16"/>
        <v>3411.65</v>
      </c>
      <c r="W45" s="33">
        <f t="shared" si="16"/>
        <v>3411.65</v>
      </c>
      <c r="X45" s="33">
        <f t="shared" si="16"/>
        <v>3411.65</v>
      </c>
      <c r="Y45" s="33">
        <f t="shared" si="16"/>
        <v>3504.65</v>
      </c>
      <c r="Z45" s="33">
        <f t="shared" si="16"/>
        <v>-867.53</v>
      </c>
      <c r="AA45" s="33">
        <f t="shared" si="16"/>
        <v>-7701.35</v>
      </c>
      <c r="AB45" s="33">
        <f t="shared" si="16"/>
        <v>0</v>
      </c>
      <c r="AC45" s="33">
        <f t="shared" si="16"/>
        <v>0</v>
      </c>
      <c r="AD45" s="33">
        <f t="shared" si="16"/>
        <v>0</v>
      </c>
      <c r="AE45" s="33">
        <f t="shared" si="16"/>
        <v>0</v>
      </c>
      <c r="AF45" s="33">
        <f t="shared" si="16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8:19">
      <c r="R50" s="58"/>
      <c r="S50" s="58"/>
    </row>
    <row r="51" spans="18:19">
      <c r="R51" s="58"/>
      <c r="S51" s="58"/>
    </row>
    <row r="52" spans="18:19">
      <c r="R52" s="58"/>
      <c r="S52" s="58"/>
    </row>
    <row r="53" spans="18:19">
      <c r="R53" s="58"/>
      <c r="S53" s="58"/>
    </row>
    <row r="54" spans="18:19">
      <c r="R54" s="58"/>
      <c r="S54" s="58"/>
    </row>
    <row r="55" spans="18:19">
      <c r="R55" s="58"/>
      <c r="S55" s="58"/>
    </row>
    <row r="56" spans="18:19">
      <c r="R56" s="58"/>
      <c r="S56" s="58"/>
    </row>
    <row r="57" spans="18:19">
      <c r="R57" s="58"/>
      <c r="S57" s="58"/>
    </row>
    <row r="58" spans="18:19">
      <c r="R58" s="58"/>
      <c r="S58" s="58"/>
    </row>
    <row r="59" spans="18:19">
      <c r="R59" s="58"/>
      <c r="S59" s="58"/>
    </row>
    <row r="60" spans="18:19">
      <c r="R60" s="58"/>
      <c r="S60" s="58"/>
    </row>
    <row r="61" spans="18:19">
      <c r="R61" s="58"/>
      <c r="S61" s="58"/>
    </row>
    <row r="62" spans="18:19">
      <c r="R62" s="58"/>
      <c r="S62" s="58"/>
    </row>
    <row r="63" spans="18:19">
      <c r="R63" s="58"/>
      <c r="S63" s="58"/>
    </row>
  </sheetData>
  <phoneticPr fontId="2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3BA2-9FB6-4EA6-A293-05D6A536CC21}">
  <dimension ref="A1:AG63"/>
  <sheetViews>
    <sheetView zoomScale="90" zoomScaleNormal="90" workbookViewId="0">
      <pane xSplit="1" ySplit="1" topLeftCell="K11" activePane="bottomRight" state="frozen"/>
      <selection pane="bottomRight" activeCell="AB37" sqref="AB37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6" width="10.625" customWidth="1"/>
    <col min="7" max="7" width="10.375" customWidth="1"/>
    <col min="8" max="8" width="10.75" customWidth="1"/>
    <col min="9" max="19" width="10.875" customWidth="1"/>
    <col min="20" max="20" width="10.375" customWidth="1"/>
    <col min="21" max="22" width="10.125" bestFit="1" customWidth="1"/>
    <col min="23" max="25" width="11.25" bestFit="1" customWidth="1"/>
    <col min="26" max="32" width="10.125" bestFit="1" customWidth="1"/>
    <col min="102" max="102" width="13.125" bestFit="1" customWidth="1"/>
  </cols>
  <sheetData>
    <row r="1" spans="1:33">
      <c r="A1" s="23" t="s">
        <v>95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10">
        <v>45991</v>
      </c>
      <c r="Y1" s="10">
        <v>46022</v>
      </c>
      <c r="Z1" s="5">
        <v>46053</v>
      </c>
      <c r="AA1" s="5">
        <v>46081</v>
      </c>
      <c r="AB1" s="5">
        <v>46112</v>
      </c>
      <c r="AC1" s="5">
        <v>46142</v>
      </c>
      <c r="AD1" s="5">
        <v>46173</v>
      </c>
      <c r="AE1" s="5">
        <v>46203</v>
      </c>
      <c r="AF1" s="5">
        <v>46234</v>
      </c>
    </row>
    <row r="2" spans="1:33">
      <c r="A2" s="12" t="s">
        <v>1</v>
      </c>
      <c r="B2" s="24">
        <f>B3*160</f>
        <v>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3">
      <c r="A3" s="12" t="s">
        <v>2</v>
      </c>
      <c r="B3" s="24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3">
      <c r="A4" s="12" t="s">
        <v>3</v>
      </c>
      <c r="B4" s="24">
        <f>B6*B5</f>
        <v>675000</v>
      </c>
      <c r="C4" s="24">
        <f>C5*C6</f>
        <v>0</v>
      </c>
      <c r="D4" s="24">
        <f>D5*D6</f>
        <v>0</v>
      </c>
      <c r="E4" s="24">
        <f>E5*E6</f>
        <v>0</v>
      </c>
      <c r="F4" s="24">
        <f>F5*F6</f>
        <v>0</v>
      </c>
      <c r="G4" s="24"/>
      <c r="H4" s="24">
        <f t="shared" ref="H4:S4" si="0">H5*H6</f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/>
      <c r="U4" s="24">
        <f t="shared" ref="U4:AF4" si="1">U5*U6</f>
        <v>661140</v>
      </c>
      <c r="V4" s="24">
        <f t="shared" si="1"/>
        <v>669960</v>
      </c>
      <c r="W4" s="24">
        <f t="shared" si="1"/>
        <v>702696</v>
      </c>
      <c r="X4" s="24">
        <f t="shared" si="1"/>
        <v>704835</v>
      </c>
      <c r="Y4" s="24">
        <f t="shared" si="1"/>
        <v>704520</v>
      </c>
      <c r="Z4" s="24">
        <f t="shared" si="1"/>
        <v>691470</v>
      </c>
      <c r="AA4" s="24">
        <f t="shared" si="1"/>
        <v>701145</v>
      </c>
      <c r="AB4" s="24">
        <f t="shared" si="1"/>
        <v>719460</v>
      </c>
      <c r="AC4" s="24">
        <f t="shared" si="1"/>
        <v>0</v>
      </c>
      <c r="AD4" s="24">
        <f t="shared" si="1"/>
        <v>0</v>
      </c>
      <c r="AE4" s="24">
        <f t="shared" si="1"/>
        <v>0</v>
      </c>
      <c r="AF4" s="24">
        <f t="shared" si="1"/>
        <v>0</v>
      </c>
    </row>
    <row r="5" spans="1:33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3">
      <c r="A6" s="12" t="s">
        <v>6</v>
      </c>
      <c r="B6" s="26">
        <v>4500</v>
      </c>
      <c r="C6" s="26">
        <v>0</v>
      </c>
      <c r="D6" s="26">
        <v>0</v>
      </c>
      <c r="E6" s="26">
        <v>0</v>
      </c>
      <c r="F6" s="26">
        <v>0</v>
      </c>
      <c r="G6" s="26"/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/>
      <c r="T6" s="26"/>
      <c r="U6" s="26">
        <v>4500</v>
      </c>
      <c r="V6" s="26">
        <v>4500</v>
      </c>
      <c r="W6" s="26">
        <v>4560</v>
      </c>
      <c r="X6" s="26">
        <v>4500</v>
      </c>
      <c r="Y6" s="26">
        <v>4500</v>
      </c>
      <c r="Z6" s="26">
        <v>4500</v>
      </c>
      <c r="AA6" s="26">
        <v>4500</v>
      </c>
      <c r="AB6" s="26">
        <v>4500</v>
      </c>
      <c r="AC6" s="26"/>
      <c r="AD6" s="26"/>
      <c r="AE6" s="26"/>
      <c r="AF6" s="26"/>
    </row>
    <row r="7" spans="1:33">
      <c r="A7" s="12" t="s">
        <v>7</v>
      </c>
      <c r="B7" s="24"/>
      <c r="C7" s="24"/>
      <c r="D7" s="24"/>
      <c r="E7" s="24"/>
      <c r="F7" s="24"/>
      <c r="G7" s="25"/>
      <c r="T7" s="25"/>
      <c r="U7" s="24">
        <v>1084904</v>
      </c>
      <c r="V7" s="24">
        <v>1084904</v>
      </c>
      <c r="W7" s="24">
        <v>1084904</v>
      </c>
      <c r="X7" s="24">
        <v>1084904</v>
      </c>
      <c r="Y7" s="24">
        <v>1084904</v>
      </c>
      <c r="Z7" s="24">
        <v>1084906</v>
      </c>
      <c r="AA7" s="24">
        <v>1084904</v>
      </c>
      <c r="AB7" s="24">
        <v>1084904</v>
      </c>
      <c r="AC7" s="24">
        <v>1084904</v>
      </c>
      <c r="AD7" s="24">
        <v>1084904</v>
      </c>
      <c r="AE7" s="24">
        <v>1084904</v>
      </c>
      <c r="AF7" s="24">
        <v>1084907</v>
      </c>
    </row>
    <row r="8" spans="1:33">
      <c r="A8" s="12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3">
      <c r="A9" s="12" t="s">
        <v>9</v>
      </c>
      <c r="B9" s="24"/>
      <c r="C9" s="24"/>
      <c r="D9" s="24"/>
      <c r="E9" s="24"/>
      <c r="F9" s="24"/>
      <c r="G9" s="2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>
        <v>89093903</v>
      </c>
      <c r="T9" s="25"/>
      <c r="U9" s="24">
        <f>S9-U7</f>
        <v>88008999</v>
      </c>
      <c r="V9" s="24">
        <f>U9-V7</f>
        <v>86924095</v>
      </c>
      <c r="W9" s="24">
        <f t="shared" ref="W9:AF9" si="2">V9-W7</f>
        <v>85839191</v>
      </c>
      <c r="X9" s="24">
        <f t="shared" si="2"/>
        <v>84754287</v>
      </c>
      <c r="Y9" s="24">
        <f t="shared" si="2"/>
        <v>83669383</v>
      </c>
      <c r="Z9" s="24">
        <f t="shared" si="2"/>
        <v>82584477</v>
      </c>
      <c r="AA9" s="24">
        <f t="shared" si="2"/>
        <v>81499573</v>
      </c>
      <c r="AB9" s="24">
        <f t="shared" si="2"/>
        <v>80414669</v>
      </c>
      <c r="AC9" s="24">
        <f t="shared" si="2"/>
        <v>79329765</v>
      </c>
      <c r="AD9" s="24">
        <f t="shared" si="2"/>
        <v>78244861</v>
      </c>
      <c r="AE9" s="24">
        <f t="shared" si="2"/>
        <v>77159957</v>
      </c>
      <c r="AF9" s="24">
        <f t="shared" si="2"/>
        <v>76075050</v>
      </c>
    </row>
    <row r="10" spans="1:33">
      <c r="A10" s="12" t="s">
        <v>10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3">
      <c r="A11" s="12" t="s">
        <v>11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>
        <v>360</v>
      </c>
      <c r="V11" s="26">
        <v>315</v>
      </c>
      <c r="W11" s="26">
        <v>315</v>
      </c>
      <c r="X11" s="26">
        <v>315</v>
      </c>
      <c r="Y11" s="26">
        <v>315</v>
      </c>
      <c r="Z11" s="26">
        <v>315</v>
      </c>
      <c r="AA11" s="26">
        <v>315</v>
      </c>
      <c r="AB11" s="26">
        <v>315</v>
      </c>
      <c r="AC11" s="26"/>
      <c r="AD11" s="26"/>
      <c r="AE11" s="26"/>
      <c r="AF11" s="26"/>
      <c r="AG11" s="64"/>
    </row>
    <row r="12" spans="1:33">
      <c r="A12" s="12" t="s">
        <v>12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>
        <v>2287.9</v>
      </c>
      <c r="V12" s="26">
        <v>3399.29</v>
      </c>
      <c r="W12" s="26">
        <v>905.24</v>
      </c>
      <c r="X12" s="26">
        <v>905.24</v>
      </c>
      <c r="Y12" s="26">
        <v>905.24</v>
      </c>
      <c r="Z12" s="26">
        <v>932.39</v>
      </c>
      <c r="AA12" s="26">
        <v>932.39</v>
      </c>
      <c r="AB12" s="26">
        <v>932.39</v>
      </c>
      <c r="AC12" s="26"/>
      <c r="AD12" s="26"/>
      <c r="AE12" s="26"/>
      <c r="AF12" s="26"/>
      <c r="AG12" s="64"/>
    </row>
    <row r="13" spans="1:33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/>
    </row>
    <row r="14" spans="1:33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/>
    </row>
    <row r="15" spans="1:33">
      <c r="A15" s="12" t="s">
        <v>15</v>
      </c>
      <c r="B15" s="29" t="e">
        <f>B13/B2</f>
        <v>#DIV/0!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/>
    </row>
    <row r="16" spans="1:33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 t="e">
        <f>B13/B9</f>
        <v>#DIV/0!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S19" si="3">SUM(D5*D20)</f>
        <v>0</v>
      </c>
      <c r="E19" s="31">
        <f t="shared" si="3"/>
        <v>0</v>
      </c>
      <c r="F19" s="31">
        <f t="shared" si="3"/>
        <v>0</v>
      </c>
      <c r="G19" s="31"/>
      <c r="H19" s="31">
        <f t="shared" si="3"/>
        <v>0</v>
      </c>
      <c r="I19" s="31">
        <f t="shared" si="3"/>
        <v>0</v>
      </c>
      <c r="J19" s="31">
        <f t="shared" si="3"/>
        <v>0</v>
      </c>
      <c r="K19" s="31">
        <f t="shared" si="3"/>
        <v>0</v>
      </c>
      <c r="L19" s="31">
        <f t="shared" si="3"/>
        <v>0</v>
      </c>
      <c r="M19" s="31">
        <f t="shared" si="3"/>
        <v>0</v>
      </c>
      <c r="N19" s="31">
        <f t="shared" si="3"/>
        <v>0</v>
      </c>
      <c r="O19" s="31">
        <f t="shared" si="3"/>
        <v>0</v>
      </c>
      <c r="P19" s="31">
        <f t="shared" si="3"/>
        <v>0</v>
      </c>
      <c r="Q19" s="31">
        <f t="shared" si="3"/>
        <v>0</v>
      </c>
      <c r="R19" s="31">
        <f t="shared" si="3"/>
        <v>0</v>
      </c>
      <c r="S19" s="31">
        <f t="shared" si="3"/>
        <v>0</v>
      </c>
      <c r="T19" s="31"/>
      <c r="U19" s="31">
        <f t="shared" ref="U19:AF19" si="4">SUM(U5*U20)</f>
        <v>272110.53199999995</v>
      </c>
      <c r="V19" s="31">
        <f t="shared" si="4"/>
        <v>116976.5048</v>
      </c>
      <c r="W19" s="31">
        <f t="shared" si="4"/>
        <v>514657.016</v>
      </c>
      <c r="X19" s="31">
        <f t="shared" si="4"/>
        <v>513708.8088</v>
      </c>
      <c r="Y19" s="31">
        <f t="shared" si="4"/>
        <v>513479.22560000006</v>
      </c>
      <c r="Z19" s="31">
        <f t="shared" si="4"/>
        <v>499796.0526</v>
      </c>
      <c r="AA19" s="31">
        <f t="shared" si="4"/>
        <v>506789.16410000005</v>
      </c>
      <c r="AB19" s="31">
        <f t="shared" si="4"/>
        <v>520027.2868</v>
      </c>
      <c r="AC19" s="31">
        <f t="shared" si="4"/>
        <v>0</v>
      </c>
      <c r="AD19" s="31">
        <f t="shared" si="4"/>
        <v>0</v>
      </c>
      <c r="AE19" s="31">
        <f t="shared" si="4"/>
        <v>0</v>
      </c>
      <c r="AF19" s="31">
        <f t="shared" si="4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S20" si="5">SUM(D6-D11-D12)</f>
        <v>0</v>
      </c>
      <c r="E20" s="33">
        <f t="shared" si="5"/>
        <v>0</v>
      </c>
      <c r="F20" s="33">
        <f t="shared" si="5"/>
        <v>0</v>
      </c>
      <c r="G20" s="33"/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  <c r="P20" s="33">
        <f t="shared" si="5"/>
        <v>0</v>
      </c>
      <c r="Q20" s="33">
        <f t="shared" si="5"/>
        <v>0</v>
      </c>
      <c r="R20" s="33">
        <f t="shared" si="5"/>
        <v>0</v>
      </c>
      <c r="S20" s="33">
        <f t="shared" si="5"/>
        <v>0</v>
      </c>
      <c r="T20" s="33"/>
      <c r="U20" s="33">
        <f t="shared" ref="U20:AF20" si="6">SUM(U6-U11-U12)</f>
        <v>1852.1</v>
      </c>
      <c r="V20" s="33">
        <f t="shared" si="6"/>
        <v>785.71</v>
      </c>
      <c r="W20" s="33">
        <f t="shared" si="6"/>
        <v>3339.76</v>
      </c>
      <c r="X20" s="33">
        <f t="shared" si="6"/>
        <v>3279.76</v>
      </c>
      <c r="Y20" s="33">
        <f t="shared" si="6"/>
        <v>3279.76</v>
      </c>
      <c r="Z20" s="33">
        <f t="shared" si="6"/>
        <v>3252.61</v>
      </c>
      <c r="AA20" s="33">
        <f t="shared" si="6"/>
        <v>3252.61</v>
      </c>
      <c r="AB20" s="33">
        <f t="shared" si="6"/>
        <v>3252.61</v>
      </c>
      <c r="AC20" s="33">
        <f t="shared" si="6"/>
        <v>0</v>
      </c>
      <c r="AD20" s="33">
        <f t="shared" si="6"/>
        <v>0</v>
      </c>
      <c r="AE20" s="33">
        <f t="shared" si="6"/>
        <v>0</v>
      </c>
      <c r="AF20" s="33">
        <f t="shared" si="6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6"/>
      <c r="C22" s="26"/>
      <c r="D22" s="26"/>
      <c r="E22" s="26"/>
      <c r="F22" s="26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>
      <c r="A26" s="23" t="s">
        <v>91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5">
        <v>45900</v>
      </c>
      <c r="V26" s="5">
        <v>45930</v>
      </c>
      <c r="W26" s="10">
        <v>45961</v>
      </c>
      <c r="X26" s="10">
        <v>45991</v>
      </c>
      <c r="Y26" s="10">
        <v>46022</v>
      </c>
      <c r="Z26" s="5">
        <v>46053</v>
      </c>
      <c r="AA26" s="5">
        <v>46081</v>
      </c>
      <c r="AB26" s="5">
        <v>46112</v>
      </c>
      <c r="AC26" s="5">
        <v>46142</v>
      </c>
      <c r="AD26" s="5">
        <v>46173</v>
      </c>
      <c r="AE26" s="5">
        <v>46203</v>
      </c>
      <c r="AF26" s="5">
        <v>46234</v>
      </c>
    </row>
    <row r="27" spans="1:32">
      <c r="A27" s="12" t="s">
        <v>1</v>
      </c>
      <c r="B27" s="24">
        <f>B28*160</f>
        <v>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>
      <c r="A28" s="12" t="s">
        <v>2</v>
      </c>
      <c r="B28" s="24">
        <v>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12" t="s">
        <v>3</v>
      </c>
      <c r="B29" s="24">
        <f>B31*B30</f>
        <v>0</v>
      </c>
      <c r="C29" s="24">
        <f>C30*C31</f>
        <v>0</v>
      </c>
      <c r="D29" s="24">
        <f>D30*D31</f>
        <v>0</v>
      </c>
      <c r="E29" s="24">
        <f>E30*E31</f>
        <v>0</v>
      </c>
      <c r="F29" s="24">
        <f>F30*F31</f>
        <v>0</v>
      </c>
      <c r="G29" s="24"/>
      <c r="H29" s="24">
        <f t="shared" ref="H29:S29" si="7">H30*H31</f>
        <v>0</v>
      </c>
      <c r="I29" s="24">
        <f t="shared" si="7"/>
        <v>0</v>
      </c>
      <c r="J29" s="24">
        <f t="shared" si="7"/>
        <v>0</v>
      </c>
      <c r="K29" s="24">
        <f t="shared" si="7"/>
        <v>0</v>
      </c>
      <c r="L29" s="24">
        <f t="shared" si="7"/>
        <v>0</v>
      </c>
      <c r="M29" s="24">
        <f t="shared" si="7"/>
        <v>0</v>
      </c>
      <c r="N29" s="24">
        <f t="shared" si="7"/>
        <v>0</v>
      </c>
      <c r="O29" s="24">
        <f t="shared" si="7"/>
        <v>0</v>
      </c>
      <c r="P29" s="24">
        <f t="shared" si="7"/>
        <v>0</v>
      </c>
      <c r="Q29" s="24">
        <f t="shared" si="7"/>
        <v>0</v>
      </c>
      <c r="R29" s="24">
        <f t="shared" si="7"/>
        <v>0</v>
      </c>
      <c r="S29" s="24">
        <f t="shared" si="7"/>
        <v>0</v>
      </c>
      <c r="T29" s="24"/>
      <c r="U29" s="24">
        <f t="shared" ref="U29:AF29" si="8">U30*U31</f>
        <v>661140</v>
      </c>
      <c r="V29" s="24">
        <f t="shared" si="8"/>
        <v>669960</v>
      </c>
      <c r="W29" s="24">
        <f t="shared" si="8"/>
        <v>702696</v>
      </c>
      <c r="X29" s="24">
        <f t="shared" si="8"/>
        <v>704835</v>
      </c>
      <c r="Y29" s="24">
        <f t="shared" si="8"/>
        <v>704520</v>
      </c>
      <c r="Z29" s="24">
        <f t="shared" si="8"/>
        <v>691470</v>
      </c>
      <c r="AA29" s="24">
        <f t="shared" si="8"/>
        <v>701145</v>
      </c>
      <c r="AB29" s="24">
        <f t="shared" si="8"/>
        <v>719460</v>
      </c>
      <c r="AC29" s="24">
        <f t="shared" si="8"/>
        <v>0</v>
      </c>
      <c r="AD29" s="24">
        <f t="shared" si="8"/>
        <v>0</v>
      </c>
      <c r="AE29" s="24">
        <f t="shared" si="8"/>
        <v>0</v>
      </c>
      <c r="AF29" s="24">
        <f t="shared" si="8"/>
        <v>0</v>
      </c>
    </row>
    <row r="30" spans="1:32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>
      <c r="A31" s="12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>
        <v>4500</v>
      </c>
      <c r="V31" s="26">
        <v>4500</v>
      </c>
      <c r="W31" s="26">
        <v>4560</v>
      </c>
      <c r="X31" s="26">
        <v>4500</v>
      </c>
      <c r="Y31" s="26">
        <v>4500</v>
      </c>
      <c r="Z31" s="26">
        <v>4500</v>
      </c>
      <c r="AA31" s="26">
        <v>4500</v>
      </c>
      <c r="AB31" s="26">
        <v>4500</v>
      </c>
      <c r="AC31" s="26"/>
      <c r="AD31" s="26"/>
      <c r="AE31" s="26"/>
      <c r="AF31" s="26"/>
    </row>
    <row r="32" spans="1:32">
      <c r="A32" s="12" t="s">
        <v>7</v>
      </c>
      <c r="B32" s="24"/>
      <c r="C32" s="24"/>
      <c r="D32" s="24"/>
      <c r="E32" s="24"/>
      <c r="F32" s="24"/>
      <c r="G32" s="2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5"/>
      <c r="U32" s="24">
        <v>1084904</v>
      </c>
      <c r="V32" s="24">
        <v>1084904</v>
      </c>
      <c r="W32" s="24">
        <v>1084904</v>
      </c>
      <c r="X32" s="24">
        <v>1084904</v>
      </c>
      <c r="Y32" s="24">
        <v>1084904</v>
      </c>
      <c r="Z32" s="24">
        <v>1084906</v>
      </c>
      <c r="AA32" s="24">
        <v>1084904</v>
      </c>
      <c r="AB32" s="24">
        <v>1084904</v>
      </c>
      <c r="AC32" s="24">
        <v>1084904</v>
      </c>
      <c r="AD32" s="24">
        <v>1084904</v>
      </c>
      <c r="AE32" s="24">
        <v>1084904</v>
      </c>
      <c r="AF32" s="24">
        <v>1084907</v>
      </c>
    </row>
    <row r="33" spans="1:32">
      <c r="A33" s="12" t="s">
        <v>8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>
      <c r="A34" s="12" t="s">
        <v>9</v>
      </c>
      <c r="B34" s="24"/>
      <c r="C34" s="24"/>
      <c r="D34" s="24"/>
      <c r="E34" s="24"/>
      <c r="F34" s="24"/>
      <c r="G34" s="25"/>
      <c r="H34" s="24"/>
      <c r="I34" s="24">
        <f>B34-I32</f>
        <v>0</v>
      </c>
      <c r="J34" s="24">
        <f t="shared" ref="J34:R34" si="9">I34-J32</f>
        <v>0</v>
      </c>
      <c r="K34" s="24">
        <f t="shared" si="9"/>
        <v>0</v>
      </c>
      <c r="L34" s="24">
        <f t="shared" si="9"/>
        <v>0</v>
      </c>
      <c r="M34" s="24">
        <f t="shared" si="9"/>
        <v>0</v>
      </c>
      <c r="N34" s="24">
        <f t="shared" si="9"/>
        <v>0</v>
      </c>
      <c r="O34" s="24">
        <f t="shared" si="9"/>
        <v>0</v>
      </c>
      <c r="P34" s="24">
        <f t="shared" si="9"/>
        <v>0</v>
      </c>
      <c r="Q34" s="24">
        <f t="shared" si="9"/>
        <v>0</v>
      </c>
      <c r="R34" s="24">
        <f t="shared" si="9"/>
        <v>0</v>
      </c>
      <c r="S34" s="24">
        <v>89093903</v>
      </c>
      <c r="T34" s="25"/>
      <c r="U34" s="24">
        <f>S34-U32</f>
        <v>88008999</v>
      </c>
      <c r="V34" s="24">
        <f>U34-V32</f>
        <v>86924095</v>
      </c>
      <c r="W34" s="24">
        <f t="shared" ref="W34:AF34" si="10">V34-W32</f>
        <v>85839191</v>
      </c>
      <c r="X34" s="24">
        <f t="shared" si="10"/>
        <v>84754287</v>
      </c>
      <c r="Y34" s="24">
        <f t="shared" si="10"/>
        <v>83669383</v>
      </c>
      <c r="Z34" s="24">
        <f t="shared" si="10"/>
        <v>82584477</v>
      </c>
      <c r="AA34" s="24">
        <f t="shared" si="10"/>
        <v>81499573</v>
      </c>
      <c r="AB34" s="24">
        <f t="shared" si="10"/>
        <v>80414669</v>
      </c>
      <c r="AC34" s="24">
        <f t="shared" si="10"/>
        <v>79329765</v>
      </c>
      <c r="AD34" s="24">
        <f t="shared" si="10"/>
        <v>78244861</v>
      </c>
      <c r="AE34" s="24">
        <f t="shared" si="10"/>
        <v>77159957</v>
      </c>
      <c r="AF34" s="24">
        <f t="shared" si="10"/>
        <v>76075050</v>
      </c>
    </row>
    <row r="35" spans="1:32">
      <c r="A35" s="12" t="s">
        <v>10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12" t="s">
        <v>11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>
        <v>360</v>
      </c>
      <c r="V36" s="26">
        <v>315</v>
      </c>
      <c r="W36" s="26">
        <v>315</v>
      </c>
      <c r="X36" s="26">
        <v>315</v>
      </c>
      <c r="Y36" s="26">
        <v>315</v>
      </c>
      <c r="Z36" s="26">
        <v>315</v>
      </c>
      <c r="AA36" s="26">
        <v>315</v>
      </c>
      <c r="AB36" s="26">
        <v>315</v>
      </c>
      <c r="AC36" s="26"/>
      <c r="AD36" s="26"/>
      <c r="AE36" s="26"/>
      <c r="AF36" s="26"/>
    </row>
    <row r="37" spans="1:32">
      <c r="A37" s="12" t="s">
        <v>12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U37" s="26">
        <v>2287.9</v>
      </c>
      <c r="V37" s="26">
        <v>3399.29</v>
      </c>
      <c r="W37" s="26">
        <v>905.24</v>
      </c>
      <c r="X37" s="26">
        <v>905.24</v>
      </c>
      <c r="Y37" s="26">
        <v>905.24</v>
      </c>
      <c r="Z37" s="26">
        <v>932.39</v>
      </c>
      <c r="AA37" s="26">
        <v>932.39</v>
      </c>
      <c r="AB37" s="26">
        <v>932.39</v>
      </c>
      <c r="AC37" s="26"/>
      <c r="AD37" s="26"/>
      <c r="AE37" s="26"/>
      <c r="AF37" s="26"/>
    </row>
    <row r="38" spans="1:32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>
      <c r="A40" s="12" t="s">
        <v>15</v>
      </c>
      <c r="B40" s="29" t="e">
        <f>B38/B27</f>
        <v>#DIV/0!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>
      <c r="A42" s="12" t="s">
        <v>17</v>
      </c>
      <c r="B42" s="29" t="e">
        <f>B38/B34</f>
        <v>#DIV/0!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>
      <c r="A44" s="12" t="s">
        <v>19</v>
      </c>
      <c r="B44" s="29"/>
      <c r="C44" s="31">
        <f>SUM(C30*C45)</f>
        <v>0</v>
      </c>
      <c r="D44" s="31">
        <f t="shared" ref="D44:F44" si="11">SUM(D30*D45)</f>
        <v>0</v>
      </c>
      <c r="E44" s="31">
        <f t="shared" si="11"/>
        <v>0</v>
      </c>
      <c r="F44" s="31">
        <f t="shared" si="11"/>
        <v>0</v>
      </c>
      <c r="G44" s="31"/>
      <c r="H44" s="31">
        <f t="shared" ref="H44:S44" si="12">SUM(H30*H45)</f>
        <v>0</v>
      </c>
      <c r="I44" s="31">
        <f t="shared" si="12"/>
        <v>0</v>
      </c>
      <c r="J44" s="31">
        <f t="shared" si="12"/>
        <v>0</v>
      </c>
      <c r="K44" s="31">
        <f t="shared" si="12"/>
        <v>0</v>
      </c>
      <c r="L44" s="31">
        <f t="shared" si="12"/>
        <v>0</v>
      </c>
      <c r="M44" s="31">
        <f t="shared" si="12"/>
        <v>0</v>
      </c>
      <c r="N44" s="31">
        <f t="shared" si="12"/>
        <v>0</v>
      </c>
      <c r="O44" s="31">
        <f t="shared" si="12"/>
        <v>0</v>
      </c>
      <c r="P44" s="31">
        <f t="shared" si="12"/>
        <v>0</v>
      </c>
      <c r="Q44" s="31">
        <f t="shared" si="12"/>
        <v>0</v>
      </c>
      <c r="R44" s="31">
        <f t="shared" si="12"/>
        <v>0</v>
      </c>
      <c r="S44" s="31">
        <f t="shared" si="12"/>
        <v>0</v>
      </c>
      <c r="T44" s="31"/>
      <c r="U44" s="31">
        <f t="shared" ref="U44:AF44" si="13">SUM(U30*U45)</f>
        <v>272110.53199999995</v>
      </c>
      <c r="V44" s="31">
        <f t="shared" si="13"/>
        <v>116976.5048</v>
      </c>
      <c r="W44" s="31">
        <f t="shared" si="13"/>
        <v>514657.016</v>
      </c>
      <c r="X44" s="31">
        <f t="shared" si="13"/>
        <v>513708.8088</v>
      </c>
      <c r="Y44" s="31">
        <f t="shared" si="13"/>
        <v>513479.22560000006</v>
      </c>
      <c r="Z44" s="31">
        <f t="shared" si="13"/>
        <v>499796.0526</v>
      </c>
      <c r="AA44" s="31">
        <f t="shared" si="13"/>
        <v>506789.16410000005</v>
      </c>
      <c r="AB44" s="31">
        <f t="shared" si="13"/>
        <v>520027.2868</v>
      </c>
      <c r="AC44" s="31">
        <f t="shared" si="13"/>
        <v>0</v>
      </c>
      <c r="AD44" s="31">
        <f t="shared" si="13"/>
        <v>0</v>
      </c>
      <c r="AE44" s="31">
        <f t="shared" si="13"/>
        <v>0</v>
      </c>
      <c r="AF44" s="31">
        <f t="shared" si="13"/>
        <v>0</v>
      </c>
    </row>
    <row r="45" spans="1:32">
      <c r="A45" s="12" t="s">
        <v>20</v>
      </c>
      <c r="B45" s="29"/>
      <c r="C45" s="33">
        <f>SUM(C31-C36-C37)</f>
        <v>0</v>
      </c>
      <c r="D45" s="33">
        <f t="shared" ref="D45:F45" si="14">SUM(D31-D36-D37)</f>
        <v>0</v>
      </c>
      <c r="E45" s="33">
        <f t="shared" si="14"/>
        <v>0</v>
      </c>
      <c r="F45" s="33">
        <f t="shared" si="14"/>
        <v>0</v>
      </c>
      <c r="G45" s="33"/>
      <c r="H45" s="33">
        <f t="shared" ref="H45:S45" si="15">SUM(H31-H36-H37)</f>
        <v>0</v>
      </c>
      <c r="I45" s="33">
        <f t="shared" si="15"/>
        <v>0</v>
      </c>
      <c r="J45" s="33">
        <f t="shared" si="15"/>
        <v>0</v>
      </c>
      <c r="K45" s="33">
        <f t="shared" si="15"/>
        <v>0</v>
      </c>
      <c r="L45" s="33">
        <f t="shared" si="15"/>
        <v>0</v>
      </c>
      <c r="M45" s="33">
        <f t="shared" si="15"/>
        <v>0</v>
      </c>
      <c r="N45" s="33">
        <f t="shared" si="15"/>
        <v>0</v>
      </c>
      <c r="O45" s="33">
        <f t="shared" si="15"/>
        <v>0</v>
      </c>
      <c r="P45" s="33">
        <f t="shared" si="15"/>
        <v>0</v>
      </c>
      <c r="Q45" s="33">
        <f t="shared" si="15"/>
        <v>0</v>
      </c>
      <c r="R45" s="33">
        <f t="shared" si="15"/>
        <v>0</v>
      </c>
      <c r="S45" s="33">
        <f t="shared" si="15"/>
        <v>0</v>
      </c>
      <c r="T45" s="33"/>
      <c r="U45" s="33">
        <f t="shared" ref="U45:AF45" si="16">SUM(U31-U36-U37)</f>
        <v>1852.1</v>
      </c>
      <c r="V45" s="33">
        <f t="shared" si="16"/>
        <v>785.71</v>
      </c>
      <c r="W45" s="33">
        <f t="shared" si="16"/>
        <v>3339.76</v>
      </c>
      <c r="X45" s="33">
        <f t="shared" si="16"/>
        <v>3279.76</v>
      </c>
      <c r="Y45" s="33">
        <f t="shared" si="16"/>
        <v>3279.76</v>
      </c>
      <c r="Z45" s="33">
        <f t="shared" si="16"/>
        <v>3252.61</v>
      </c>
      <c r="AA45" s="33">
        <f t="shared" si="16"/>
        <v>3252.61</v>
      </c>
      <c r="AB45" s="33">
        <f t="shared" si="16"/>
        <v>3252.61</v>
      </c>
      <c r="AC45" s="33">
        <f t="shared" si="16"/>
        <v>0</v>
      </c>
      <c r="AD45" s="33">
        <f t="shared" si="16"/>
        <v>0</v>
      </c>
      <c r="AE45" s="33">
        <f t="shared" si="16"/>
        <v>0</v>
      </c>
      <c r="AF45" s="33">
        <f t="shared" si="16"/>
        <v>0</v>
      </c>
    </row>
    <row r="46" spans="1:32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>
      <c r="A47" s="12" t="s">
        <v>22</v>
      </c>
      <c r="B47" s="26"/>
      <c r="C47" s="26"/>
      <c r="D47" s="26"/>
      <c r="E47" s="26"/>
      <c r="F47" s="26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</row>
    <row r="50" spans="18:19">
      <c r="R50" s="58"/>
      <c r="S50" s="58"/>
    </row>
    <row r="51" spans="18:19">
      <c r="R51" s="58"/>
      <c r="S51" s="58"/>
    </row>
    <row r="52" spans="18:19">
      <c r="R52" s="58"/>
      <c r="S52" s="58"/>
    </row>
    <row r="53" spans="18:19">
      <c r="R53" s="58"/>
      <c r="S53" s="58"/>
    </row>
    <row r="54" spans="18:19">
      <c r="R54" s="58"/>
      <c r="S54" s="58"/>
    </row>
    <row r="55" spans="18:19">
      <c r="R55" s="58"/>
      <c r="S55" s="58"/>
    </row>
    <row r="56" spans="18:19">
      <c r="R56" s="58"/>
      <c r="S56" s="58"/>
    </row>
    <row r="57" spans="18:19">
      <c r="R57" s="58"/>
      <c r="S57" s="58"/>
    </row>
    <row r="58" spans="18:19">
      <c r="R58" s="58"/>
      <c r="S58" s="58"/>
    </row>
    <row r="59" spans="18:19">
      <c r="R59" s="58"/>
      <c r="S59" s="58"/>
    </row>
    <row r="60" spans="18:19">
      <c r="R60" s="58"/>
      <c r="S60" s="58"/>
    </row>
    <row r="61" spans="18:19">
      <c r="R61" s="58"/>
      <c r="S61" s="58"/>
    </row>
    <row r="62" spans="18:19">
      <c r="R62" s="58"/>
      <c r="S62" s="58"/>
    </row>
    <row r="63" spans="18:19">
      <c r="R63" s="58"/>
      <c r="S63" s="58"/>
    </row>
  </sheetData>
  <phoneticPr fontId="2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9834-B825-46FC-8D94-658BAC11D845}">
  <dimension ref="A1:AH106"/>
  <sheetViews>
    <sheetView zoomScale="90" zoomScaleNormal="90" workbookViewId="0">
      <pane xSplit="1" ySplit="1" topLeftCell="K2" activePane="bottomRight" state="frozen"/>
      <selection pane="bottomRight" activeCell="AB6" sqref="AB6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22" width="11.5" bestFit="1" customWidth="1"/>
    <col min="23" max="25" width="11.25" bestFit="1" customWidth="1"/>
    <col min="26" max="32" width="11.5" bestFit="1" customWidth="1"/>
    <col min="33" max="33" width="9.375" bestFit="1" customWidth="1"/>
  </cols>
  <sheetData>
    <row r="1" spans="1:34">
      <c r="A1" s="23" t="s">
        <v>96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5">
        <v>45991</v>
      </c>
      <c r="Y1" s="5">
        <v>46022</v>
      </c>
      <c r="Z1" s="10">
        <v>46053</v>
      </c>
      <c r="AA1" s="5">
        <v>46081</v>
      </c>
      <c r="AB1" s="5">
        <v>46112</v>
      </c>
      <c r="AC1" s="10">
        <v>46142</v>
      </c>
      <c r="AD1" s="5">
        <v>46173</v>
      </c>
      <c r="AE1" s="5">
        <v>46203</v>
      </c>
      <c r="AF1" s="10">
        <v>46234</v>
      </c>
    </row>
    <row r="2" spans="1:34">
      <c r="A2" s="12" t="s">
        <v>1</v>
      </c>
      <c r="B2" s="24">
        <f>B3*150</f>
        <v>885000000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4">
      <c r="A3" s="12" t="s">
        <v>2</v>
      </c>
      <c r="B3" s="24">
        <v>5900000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4">
      <c r="A4" s="12" t="s">
        <v>3</v>
      </c>
      <c r="B4" s="24">
        <f>B5*B6</f>
        <v>4500000</v>
      </c>
      <c r="C4" s="24"/>
      <c r="D4" s="24"/>
      <c r="E4" s="24"/>
      <c r="F4" s="24">
        <f t="shared" ref="F4" si="0">F5*F6</f>
        <v>0</v>
      </c>
      <c r="G4" s="24"/>
      <c r="H4" s="24">
        <f t="shared" ref="H4:S4" si="1">H5*H6</f>
        <v>0</v>
      </c>
      <c r="I4" s="24">
        <f t="shared" si="1"/>
        <v>0</v>
      </c>
      <c r="J4" s="24">
        <f t="shared" si="1"/>
        <v>0</v>
      </c>
      <c r="K4" s="24">
        <f t="shared" si="1"/>
        <v>0</v>
      </c>
      <c r="L4" s="24">
        <f t="shared" si="1"/>
        <v>0</v>
      </c>
      <c r="M4" s="24">
        <f t="shared" si="1"/>
        <v>2465898.0882000001</v>
      </c>
      <c r="N4" s="24">
        <f t="shared" si="1"/>
        <v>4939110</v>
      </c>
      <c r="O4" s="24">
        <f t="shared" si="1"/>
        <v>2990400</v>
      </c>
      <c r="P4" s="24">
        <f t="shared" si="1"/>
        <v>3707132.2282999996</v>
      </c>
      <c r="Q4" s="24">
        <f t="shared" si="1"/>
        <v>4316504.2747</v>
      </c>
      <c r="R4" s="24">
        <f t="shared" si="1"/>
        <v>4344680.8503</v>
      </c>
      <c r="S4" s="24">
        <f t="shared" si="1"/>
        <v>4482118.2919999994</v>
      </c>
      <c r="T4" s="24"/>
      <c r="U4" s="24">
        <f t="shared" ref="U4:AF4" si="2">U5*U6</f>
        <v>4407987.8687999994</v>
      </c>
      <c r="V4" s="24">
        <f t="shared" si="2"/>
        <v>4466791.5543999998</v>
      </c>
      <c r="W4" s="24">
        <f t="shared" si="2"/>
        <v>4623431.4799999995</v>
      </c>
      <c r="X4" s="24">
        <f t="shared" si="2"/>
        <v>4699326.0335999997</v>
      </c>
      <c r="Y4" s="24">
        <f t="shared" si="2"/>
        <v>4697171.0471999999</v>
      </c>
      <c r="Z4" s="24">
        <f t="shared" si="2"/>
        <v>4610259.4434000002</v>
      </c>
      <c r="AA4" s="24">
        <f t="shared" si="2"/>
        <v>4674695.7574000005</v>
      </c>
      <c r="AB4" s="24">
        <f t="shared" si="2"/>
        <v>5036688.4484000001</v>
      </c>
      <c r="AC4" s="24">
        <f t="shared" si="2"/>
        <v>0</v>
      </c>
      <c r="AD4" s="24">
        <f t="shared" si="2"/>
        <v>0</v>
      </c>
      <c r="AE4" s="24">
        <f t="shared" si="2"/>
        <v>0</v>
      </c>
      <c r="AF4" s="24">
        <f t="shared" si="2"/>
        <v>0</v>
      </c>
    </row>
    <row r="5" spans="1:34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4">
      <c r="A6" s="12" t="s">
        <v>6</v>
      </c>
      <c r="B6" s="26">
        <v>30000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>
        <v>15967.74</v>
      </c>
      <c r="N6" s="26">
        <v>33000</v>
      </c>
      <c r="O6" s="26">
        <v>20000</v>
      </c>
      <c r="P6" s="26">
        <v>26002.19</v>
      </c>
      <c r="Q6" s="26">
        <v>30002.81</v>
      </c>
      <c r="R6" s="26">
        <v>30002.63</v>
      </c>
      <c r="S6" s="26">
        <v>30002.799999999999</v>
      </c>
      <c r="T6" s="26"/>
      <c r="U6" s="26">
        <v>30002.639999999999</v>
      </c>
      <c r="V6" s="26">
        <v>30002.63</v>
      </c>
      <c r="W6" s="26">
        <v>30002.799999999999</v>
      </c>
      <c r="X6" s="26">
        <v>30002.720000000001</v>
      </c>
      <c r="Y6" s="26">
        <v>30002.37</v>
      </c>
      <c r="Z6" s="26">
        <v>30002.99</v>
      </c>
      <c r="AA6" s="26">
        <v>30002.54</v>
      </c>
      <c r="AB6" s="26">
        <v>31502.93</v>
      </c>
      <c r="AC6" s="26"/>
      <c r="AD6" s="26"/>
      <c r="AE6" s="26"/>
      <c r="AF6" s="26"/>
    </row>
    <row r="7" spans="1:34">
      <c r="A7" s="12" t="s">
        <v>7</v>
      </c>
      <c r="B7" s="24">
        <v>818326168</v>
      </c>
      <c r="C7" s="24"/>
      <c r="D7" s="24"/>
      <c r="E7" s="24"/>
      <c r="F7" s="24"/>
      <c r="G7" s="25"/>
      <c r="H7" s="25"/>
      <c r="I7" s="25"/>
      <c r="J7" s="25"/>
      <c r="K7" s="25"/>
      <c r="L7" s="25"/>
      <c r="M7" s="25">
        <v>17048463</v>
      </c>
      <c r="N7" s="25">
        <v>17048461</v>
      </c>
      <c r="O7" s="25">
        <v>17048461</v>
      </c>
      <c r="P7" s="25">
        <v>17048461</v>
      </c>
      <c r="Q7" s="25">
        <v>17048461</v>
      </c>
      <c r="R7" s="25">
        <v>17048461</v>
      </c>
      <c r="S7" s="25">
        <v>17048464</v>
      </c>
      <c r="T7" s="25"/>
      <c r="U7" s="25">
        <v>17048461</v>
      </c>
      <c r="V7" s="25">
        <v>17048461</v>
      </c>
      <c r="W7" s="25">
        <v>17048461</v>
      </c>
      <c r="X7" s="25">
        <v>17048461</v>
      </c>
      <c r="Y7" s="25">
        <v>17048461</v>
      </c>
      <c r="Z7" s="25">
        <v>17048466</v>
      </c>
      <c r="AA7" s="25">
        <v>17048461</v>
      </c>
      <c r="AB7" s="25">
        <v>17048461</v>
      </c>
      <c r="AC7" s="25">
        <v>17048461</v>
      </c>
      <c r="AD7" s="25">
        <v>17048461</v>
      </c>
      <c r="AE7" s="25">
        <v>17048461</v>
      </c>
      <c r="AF7" s="25">
        <v>17048466</v>
      </c>
    </row>
    <row r="8" spans="1:34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4">
      <c r="A9" s="12" t="s">
        <v>9</v>
      </c>
      <c r="B9" s="24">
        <v>818326168</v>
      </c>
      <c r="C9" s="24"/>
      <c r="D9" s="24"/>
      <c r="E9" s="24"/>
      <c r="F9" s="24"/>
      <c r="G9" s="25"/>
      <c r="H9" s="25"/>
      <c r="I9" s="25"/>
      <c r="J9" s="25"/>
      <c r="K9" s="25"/>
      <c r="L9" s="25"/>
      <c r="M9" s="25">
        <f>B9-M7</f>
        <v>801277705</v>
      </c>
      <c r="N9" s="25">
        <f t="shared" ref="N9" si="3">M9-N7</f>
        <v>784229244</v>
      </c>
      <c r="O9" s="25">
        <f t="shared" ref="O9" si="4">N9-O7</f>
        <v>767180783</v>
      </c>
      <c r="P9" s="25">
        <f t="shared" ref="P9" si="5">O9-P7</f>
        <v>750132322</v>
      </c>
      <c r="Q9" s="25">
        <f t="shared" ref="Q9" si="6">P9-Q7</f>
        <v>733083861</v>
      </c>
      <c r="R9" s="25">
        <f t="shared" ref="R9" si="7">Q9-R7</f>
        <v>716035400</v>
      </c>
      <c r="S9" s="25">
        <f t="shared" ref="S9" si="8">R9-S7</f>
        <v>698986936</v>
      </c>
      <c r="T9" s="25"/>
      <c r="U9" s="25">
        <f>S9-U7</f>
        <v>681938475</v>
      </c>
      <c r="V9" s="25">
        <f>U9-V7</f>
        <v>664890014</v>
      </c>
      <c r="W9" s="25">
        <f t="shared" ref="W9:AF9" si="9">V9-W7</f>
        <v>647841553</v>
      </c>
      <c r="X9" s="25">
        <f t="shared" si="9"/>
        <v>630793092</v>
      </c>
      <c r="Y9" s="25">
        <f t="shared" si="9"/>
        <v>613744631</v>
      </c>
      <c r="Z9" s="25">
        <f t="shared" si="9"/>
        <v>596696165</v>
      </c>
      <c r="AA9" s="25">
        <f t="shared" si="9"/>
        <v>579647704</v>
      </c>
      <c r="AB9" s="25">
        <f t="shared" si="9"/>
        <v>562599243</v>
      </c>
      <c r="AC9" s="25">
        <f t="shared" si="9"/>
        <v>545550782</v>
      </c>
      <c r="AD9" s="25">
        <f t="shared" si="9"/>
        <v>528502321</v>
      </c>
      <c r="AE9" s="25">
        <f t="shared" si="9"/>
        <v>511453860</v>
      </c>
      <c r="AF9" s="25">
        <f t="shared" si="9"/>
        <v>494405394</v>
      </c>
    </row>
    <row r="10" spans="1:34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4">
      <c r="A11" s="12" t="s">
        <v>11</v>
      </c>
      <c r="B11" s="24"/>
      <c r="C11" s="26"/>
      <c r="D11" s="26"/>
      <c r="E11" s="26"/>
      <c r="F11" s="26"/>
      <c r="G11" s="32"/>
      <c r="H11" s="32"/>
      <c r="I11" s="32"/>
      <c r="J11" s="32"/>
      <c r="K11" s="32"/>
      <c r="L11" s="32"/>
      <c r="M11" s="32">
        <v>813.7</v>
      </c>
      <c r="N11" s="32">
        <v>1550</v>
      </c>
      <c r="O11" s="32">
        <v>1200</v>
      </c>
      <c r="P11" s="32">
        <v>1500</v>
      </c>
      <c r="Q11" s="32">
        <v>1500</v>
      </c>
      <c r="R11" s="32">
        <v>1500</v>
      </c>
      <c r="S11" s="32">
        <v>1500</v>
      </c>
      <c r="T11" s="32"/>
      <c r="U11" s="32">
        <v>1500</v>
      </c>
      <c r="V11" s="32">
        <v>1500</v>
      </c>
      <c r="W11" s="32">
        <v>1500</v>
      </c>
      <c r="X11" s="32">
        <v>1500</v>
      </c>
      <c r="Y11" s="32">
        <v>1500</v>
      </c>
      <c r="Z11" s="32">
        <v>1500</v>
      </c>
      <c r="AA11" s="32">
        <v>1500</v>
      </c>
      <c r="AB11" s="32">
        <v>1575</v>
      </c>
      <c r="AC11" s="32"/>
      <c r="AD11" s="32"/>
      <c r="AE11" s="32"/>
      <c r="AF11" s="32"/>
      <c r="AG11" s="64">
        <f>SUM(C36:AF36)</f>
        <v>21638.7</v>
      </c>
      <c r="AH11" t="s">
        <v>26</v>
      </c>
    </row>
    <row r="12" spans="1:34">
      <c r="A12" s="12" t="s">
        <v>12</v>
      </c>
      <c r="B12" s="26">
        <v>354417.72</v>
      </c>
      <c r="C12" s="26"/>
      <c r="D12" s="26"/>
      <c r="E12" s="26"/>
      <c r="F12" s="26"/>
      <c r="G12" s="32"/>
      <c r="H12" s="32"/>
      <c r="I12" s="32"/>
      <c r="J12" s="32"/>
      <c r="K12" s="32"/>
      <c r="L12" s="32"/>
      <c r="M12" s="32">
        <v>124.52</v>
      </c>
      <c r="N12" s="32">
        <v>10561.65</v>
      </c>
      <c r="O12" s="32">
        <v>10335.85</v>
      </c>
      <c r="P12" s="32">
        <v>17211.03</v>
      </c>
      <c r="Q12" s="32">
        <v>1185.8</v>
      </c>
      <c r="R12" s="32">
        <v>14627.06</v>
      </c>
      <c r="S12" s="32">
        <v>4142.8900000000003</v>
      </c>
      <c r="T12" s="32"/>
      <c r="U12" s="32">
        <v>3631.81</v>
      </c>
      <c r="V12" s="32">
        <v>1546.45</v>
      </c>
      <c r="W12" s="32">
        <v>18337.439999999999</v>
      </c>
      <c r="X12" s="32">
        <v>1130.1600000000001</v>
      </c>
      <c r="Y12" s="32">
        <v>1478.69</v>
      </c>
      <c r="Z12" s="32">
        <v>14313.43</v>
      </c>
      <c r="AA12" s="32">
        <v>9843.61</v>
      </c>
      <c r="AB12" s="32">
        <v>23872.07</v>
      </c>
      <c r="AC12" s="32"/>
      <c r="AD12" s="32"/>
      <c r="AE12" s="32"/>
      <c r="AF12" s="32"/>
      <c r="AG12" s="64">
        <v>0</v>
      </c>
      <c r="AH12" t="s">
        <v>27</v>
      </c>
    </row>
    <row r="13" spans="1:34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12443.46</v>
      </c>
      <c r="AH13" t="s">
        <v>28</v>
      </c>
    </row>
    <row r="14" spans="1:34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45745.34</v>
      </c>
      <c r="AH14" t="s">
        <v>29</v>
      </c>
    </row>
    <row r="15" spans="1:34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79827.5</v>
      </c>
      <c r="AH15" t="s">
        <v>30</v>
      </c>
    </row>
    <row r="16" spans="1:34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>
      <c r="A19" s="12" t="s">
        <v>19</v>
      </c>
      <c r="B19" s="29"/>
      <c r="C19" s="31">
        <f>SUM(C5*C20)</f>
        <v>0</v>
      </c>
      <c r="D19" s="31">
        <f t="shared" ref="D19:F19" si="10">SUM(D5*D20)</f>
        <v>0</v>
      </c>
      <c r="E19" s="31">
        <f t="shared" si="10"/>
        <v>0</v>
      </c>
      <c r="F19" s="31">
        <f t="shared" si="10"/>
        <v>0</v>
      </c>
      <c r="G19" s="31"/>
      <c r="H19" s="31">
        <f t="shared" ref="H19:S19" si="11">SUM(H5*H20)</f>
        <v>0</v>
      </c>
      <c r="I19" s="31">
        <f t="shared" si="11"/>
        <v>0</v>
      </c>
      <c r="J19" s="31">
        <f t="shared" si="11"/>
        <v>0</v>
      </c>
      <c r="K19" s="31">
        <f t="shared" si="11"/>
        <v>0</v>
      </c>
      <c r="L19" s="31">
        <f t="shared" si="11"/>
        <v>0</v>
      </c>
      <c r="M19" s="31">
        <f t="shared" si="11"/>
        <v>2321008.7736</v>
      </c>
      <c r="N19" s="31">
        <f t="shared" si="11"/>
        <v>3126359.3444999997</v>
      </c>
      <c r="O19" s="31">
        <f t="shared" si="11"/>
        <v>1265559.7080000001</v>
      </c>
      <c r="P19" s="31">
        <f t="shared" si="11"/>
        <v>1039500.6811999999</v>
      </c>
      <c r="Q19" s="31">
        <f t="shared" si="11"/>
        <v>3930098.2287000003</v>
      </c>
      <c r="R19" s="31">
        <f t="shared" si="11"/>
        <v>2009321.2917000002</v>
      </c>
      <c r="S19" s="31">
        <f t="shared" si="11"/>
        <v>3639126.9548999998</v>
      </c>
      <c r="T19" s="31"/>
      <c r="U19" s="31">
        <f t="shared" ref="U19:AF19" si="12">SUM(U5*U20)</f>
        <v>3654022.3435999993</v>
      </c>
      <c r="V19" s="31">
        <f t="shared" si="12"/>
        <v>4013236.0784</v>
      </c>
      <c r="W19" s="31">
        <f t="shared" si="12"/>
        <v>1566481.976</v>
      </c>
      <c r="X19" s="31">
        <f t="shared" si="12"/>
        <v>4287364.0728000002</v>
      </c>
      <c r="Y19" s="31">
        <f t="shared" si="12"/>
        <v>4230827.3408000004</v>
      </c>
      <c r="Z19" s="31">
        <f t="shared" si="12"/>
        <v>2180367.7896000003</v>
      </c>
      <c r="AA19" s="31">
        <f t="shared" si="12"/>
        <v>2907247.8832999999</v>
      </c>
      <c r="AB19" s="31">
        <f t="shared" si="12"/>
        <v>968210.8968000001</v>
      </c>
      <c r="AC19" s="31">
        <f t="shared" si="12"/>
        <v>0</v>
      </c>
      <c r="AD19" s="31">
        <f t="shared" si="12"/>
        <v>0</v>
      </c>
      <c r="AE19" s="31">
        <f t="shared" si="12"/>
        <v>0</v>
      </c>
      <c r="AF19" s="31">
        <f t="shared" si="12"/>
        <v>0</v>
      </c>
    </row>
    <row r="20" spans="1:32">
      <c r="A20" s="12" t="s">
        <v>20</v>
      </c>
      <c r="B20" s="29"/>
      <c r="C20" s="33">
        <f>SUM(C6-C11-C12)</f>
        <v>0</v>
      </c>
      <c r="D20" s="33">
        <f t="shared" ref="D20:F20" si="13">SUM(D6-D11-D12)</f>
        <v>0</v>
      </c>
      <c r="E20" s="33">
        <f t="shared" si="13"/>
        <v>0</v>
      </c>
      <c r="F20" s="33">
        <f t="shared" si="13"/>
        <v>0</v>
      </c>
      <c r="G20" s="33"/>
      <c r="H20" s="33">
        <f t="shared" ref="H20:S20" si="14">SUM(H6-H11-H12)</f>
        <v>0</v>
      </c>
      <c r="I20" s="33">
        <f t="shared" si="14"/>
        <v>0</v>
      </c>
      <c r="J20" s="33">
        <f t="shared" si="14"/>
        <v>0</v>
      </c>
      <c r="K20" s="33">
        <f t="shared" si="14"/>
        <v>0</v>
      </c>
      <c r="L20" s="33">
        <f t="shared" si="14"/>
        <v>0</v>
      </c>
      <c r="M20" s="33">
        <f t="shared" si="14"/>
        <v>15029.519999999999</v>
      </c>
      <c r="N20" s="33">
        <f t="shared" si="14"/>
        <v>20888.349999999999</v>
      </c>
      <c r="O20" s="33">
        <f t="shared" si="14"/>
        <v>8464.15</v>
      </c>
      <c r="P20" s="33">
        <f t="shared" si="14"/>
        <v>7291.16</v>
      </c>
      <c r="Q20" s="33">
        <f t="shared" si="14"/>
        <v>27317.010000000002</v>
      </c>
      <c r="R20" s="33">
        <f t="shared" si="14"/>
        <v>13875.570000000002</v>
      </c>
      <c r="S20" s="33">
        <f t="shared" si="14"/>
        <v>24359.91</v>
      </c>
      <c r="T20" s="33"/>
      <c r="U20" s="33">
        <f t="shared" ref="U20:AF20" si="15">SUM(U6-U11-U12)</f>
        <v>24870.829999999998</v>
      </c>
      <c r="V20" s="33">
        <f t="shared" si="15"/>
        <v>26956.18</v>
      </c>
      <c r="W20" s="33">
        <f t="shared" si="15"/>
        <v>10165.36</v>
      </c>
      <c r="X20" s="33">
        <f t="shared" si="15"/>
        <v>27372.560000000001</v>
      </c>
      <c r="Y20" s="33">
        <f t="shared" si="15"/>
        <v>27023.68</v>
      </c>
      <c r="Z20" s="33">
        <f t="shared" si="15"/>
        <v>14189.560000000001</v>
      </c>
      <c r="AA20" s="33">
        <f t="shared" si="15"/>
        <v>18658.93</v>
      </c>
      <c r="AB20" s="33">
        <f t="shared" si="15"/>
        <v>6055.8600000000006</v>
      </c>
      <c r="AC20" s="33">
        <f t="shared" si="15"/>
        <v>0</v>
      </c>
      <c r="AD20" s="33">
        <f t="shared" si="15"/>
        <v>0</v>
      </c>
      <c r="AE20" s="33">
        <f t="shared" si="15"/>
        <v>0</v>
      </c>
      <c r="AF20" s="33">
        <f t="shared" si="15"/>
        <v>0</v>
      </c>
    </row>
    <row r="21" spans="1:32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spans="1:32" s="36" customFormat="1">
      <c r="A23" s="35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36" customFormat="1">
      <c r="A24" s="35" t="s">
        <v>23</v>
      </c>
      <c r="B24" s="68">
        <v>45674</v>
      </c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s="36" customFormat="1">
      <c r="A26" s="23" t="s">
        <v>96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</row>
    <row r="27" spans="1:32" s="36" customFormat="1">
      <c r="A27" s="12" t="s">
        <v>1</v>
      </c>
      <c r="B27" s="24">
        <f>B28*150</f>
        <v>885000000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spans="1:32" s="36" customFormat="1">
      <c r="A28" s="12" t="s">
        <v>2</v>
      </c>
      <c r="B28" s="24">
        <v>5900000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2" s="36" customFormat="1">
      <c r="A29" s="12" t="s">
        <v>3</v>
      </c>
      <c r="B29" s="24">
        <f>B30*B31</f>
        <v>4500000</v>
      </c>
      <c r="C29" s="24"/>
      <c r="D29" s="24"/>
      <c r="E29" s="24"/>
      <c r="F29" s="24">
        <f t="shared" ref="F29" si="16">F30*F31</f>
        <v>0</v>
      </c>
      <c r="G29" s="24"/>
      <c r="H29" s="24">
        <f t="shared" ref="H29:S29" si="17">H30*H31</f>
        <v>0</v>
      </c>
      <c r="I29" s="24">
        <f t="shared" si="17"/>
        <v>0</v>
      </c>
      <c r="J29" s="24">
        <f t="shared" si="17"/>
        <v>0</v>
      </c>
      <c r="K29" s="24">
        <f t="shared" si="17"/>
        <v>0</v>
      </c>
      <c r="L29" s="24">
        <f t="shared" si="17"/>
        <v>0</v>
      </c>
      <c r="M29" s="24">
        <f t="shared" si="17"/>
        <v>2465898.0882000001</v>
      </c>
      <c r="N29" s="24">
        <f t="shared" si="17"/>
        <v>4939110</v>
      </c>
      <c r="O29" s="24">
        <f t="shared" si="17"/>
        <v>2990400</v>
      </c>
      <c r="P29" s="24">
        <f t="shared" si="17"/>
        <v>3707132.2282999996</v>
      </c>
      <c r="Q29" s="24">
        <f t="shared" si="17"/>
        <v>4316504.2747</v>
      </c>
      <c r="R29" s="24">
        <f t="shared" si="17"/>
        <v>4344680.8503</v>
      </c>
      <c r="S29" s="24">
        <f t="shared" si="17"/>
        <v>4482118.2919999994</v>
      </c>
      <c r="T29" s="24"/>
      <c r="U29" s="24">
        <f t="shared" ref="U29:AF29" si="18">U30*U31</f>
        <v>4407987.8687999994</v>
      </c>
      <c r="V29" s="24">
        <f t="shared" si="18"/>
        <v>4466791.5543999998</v>
      </c>
      <c r="W29" s="24">
        <f t="shared" si="18"/>
        <v>4623431.4799999995</v>
      </c>
      <c r="X29" s="24">
        <f t="shared" si="18"/>
        <v>4699326.0335999997</v>
      </c>
      <c r="Y29" s="24">
        <f t="shared" si="18"/>
        <v>4697171.0471999999</v>
      </c>
      <c r="Z29" s="24">
        <f t="shared" si="18"/>
        <v>4610259.4434000002</v>
      </c>
      <c r="AA29" s="24">
        <f t="shared" si="18"/>
        <v>4674695.7574000005</v>
      </c>
      <c r="AB29" s="24">
        <f t="shared" si="18"/>
        <v>5036688.4484000001</v>
      </c>
      <c r="AC29" s="24">
        <f t="shared" si="18"/>
        <v>0</v>
      </c>
      <c r="AD29" s="24">
        <f t="shared" si="18"/>
        <v>0</v>
      </c>
      <c r="AE29" s="24">
        <f t="shared" si="18"/>
        <v>0</v>
      </c>
      <c r="AF29" s="24">
        <f t="shared" si="18"/>
        <v>0</v>
      </c>
    </row>
    <row r="30" spans="1:32" s="36" customFormat="1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2" s="36" customFormat="1">
      <c r="A31" s="12" t="s">
        <v>6</v>
      </c>
      <c r="B31" s="26">
        <v>30000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>
        <v>15967.74</v>
      </c>
      <c r="N31" s="26">
        <v>33000</v>
      </c>
      <c r="O31" s="26">
        <v>20000</v>
      </c>
      <c r="P31" s="26">
        <v>26002.19</v>
      </c>
      <c r="Q31" s="26">
        <v>30002.81</v>
      </c>
      <c r="R31" s="26">
        <v>30002.63</v>
      </c>
      <c r="S31" s="26">
        <v>30002.799999999999</v>
      </c>
      <c r="T31" s="26"/>
      <c r="U31" s="26">
        <v>30002.639999999999</v>
      </c>
      <c r="V31" s="26">
        <v>30002.63</v>
      </c>
      <c r="W31" s="26">
        <v>30002.799999999999</v>
      </c>
      <c r="X31" s="26">
        <v>30002.720000000001</v>
      </c>
      <c r="Y31" s="26">
        <v>30002.37</v>
      </c>
      <c r="Z31" s="26">
        <v>30002.99</v>
      </c>
      <c r="AA31" s="26">
        <v>30002.54</v>
      </c>
      <c r="AB31" s="26">
        <v>31502.93</v>
      </c>
      <c r="AC31" s="26"/>
      <c r="AD31" s="26"/>
      <c r="AE31" s="26"/>
      <c r="AF31" s="26"/>
    </row>
    <row r="32" spans="1:32" s="36" customFormat="1">
      <c r="A32" s="12" t="s">
        <v>7</v>
      </c>
      <c r="B32" s="24">
        <v>818326168</v>
      </c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5">
        <v>17048463</v>
      </c>
      <c r="N32" s="25">
        <v>17048461</v>
      </c>
      <c r="O32" s="25">
        <v>17048461</v>
      </c>
      <c r="P32" s="25">
        <v>17048461</v>
      </c>
      <c r="Q32" s="25">
        <v>17048461</v>
      </c>
      <c r="R32" s="25">
        <v>17048461</v>
      </c>
      <c r="S32" s="25">
        <v>17048464</v>
      </c>
      <c r="T32" s="25"/>
      <c r="U32" s="25">
        <v>17048461</v>
      </c>
      <c r="V32" s="25">
        <v>17048461</v>
      </c>
      <c r="W32" s="25">
        <v>17048461</v>
      </c>
      <c r="X32" s="25">
        <v>17048461</v>
      </c>
      <c r="Y32" s="25">
        <v>17048461</v>
      </c>
      <c r="Z32" s="25">
        <v>17048466</v>
      </c>
      <c r="AA32" s="25">
        <v>17048461</v>
      </c>
      <c r="AB32" s="25">
        <v>17048461</v>
      </c>
      <c r="AC32" s="25">
        <v>17048461</v>
      </c>
      <c r="AD32" s="25">
        <v>17048461</v>
      </c>
      <c r="AE32" s="25">
        <v>17048461</v>
      </c>
      <c r="AF32" s="25">
        <v>17048466</v>
      </c>
    </row>
    <row r="33" spans="1:32" s="36" customFormat="1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2" s="36" customFormat="1">
      <c r="A34" s="12" t="s">
        <v>9</v>
      </c>
      <c r="B34" s="24">
        <v>818326168</v>
      </c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>
        <f>B34-M32</f>
        <v>801277705</v>
      </c>
      <c r="N34" s="25">
        <f t="shared" ref="N34:S34" si="19">M34-N32</f>
        <v>784229244</v>
      </c>
      <c r="O34" s="25">
        <f t="shared" si="19"/>
        <v>767180783</v>
      </c>
      <c r="P34" s="25">
        <f t="shared" si="19"/>
        <v>750132322</v>
      </c>
      <c r="Q34" s="25">
        <f t="shared" si="19"/>
        <v>733083861</v>
      </c>
      <c r="R34" s="25">
        <f t="shared" si="19"/>
        <v>716035400</v>
      </c>
      <c r="S34" s="25">
        <f t="shared" si="19"/>
        <v>698986936</v>
      </c>
      <c r="T34" s="25"/>
      <c r="U34" s="25">
        <f>S34-U32</f>
        <v>681938475</v>
      </c>
      <c r="V34" s="25">
        <f>U34-V32</f>
        <v>664890014</v>
      </c>
      <c r="W34" s="25">
        <f t="shared" ref="W34:AF34" si="20">V34-W32</f>
        <v>647841553</v>
      </c>
      <c r="X34" s="25">
        <f t="shared" si="20"/>
        <v>630793092</v>
      </c>
      <c r="Y34" s="25">
        <f t="shared" si="20"/>
        <v>613744631</v>
      </c>
      <c r="Z34" s="25">
        <f t="shared" si="20"/>
        <v>596696165</v>
      </c>
      <c r="AA34" s="25">
        <f t="shared" si="20"/>
        <v>579647704</v>
      </c>
      <c r="AB34" s="25">
        <f t="shared" si="20"/>
        <v>562599243</v>
      </c>
      <c r="AC34" s="25">
        <f t="shared" si="20"/>
        <v>545550782</v>
      </c>
      <c r="AD34" s="25">
        <f t="shared" si="20"/>
        <v>528502321</v>
      </c>
      <c r="AE34" s="25">
        <f t="shared" si="20"/>
        <v>511453860</v>
      </c>
      <c r="AF34" s="25">
        <f t="shared" si="20"/>
        <v>494405394</v>
      </c>
    </row>
    <row r="35" spans="1:32" s="36" customFormat="1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2" s="36" customFormat="1">
      <c r="A36" s="12" t="s">
        <v>11</v>
      </c>
      <c r="B36" s="24"/>
      <c r="C36" s="26"/>
      <c r="D36" s="26"/>
      <c r="E36" s="26"/>
      <c r="F36" s="26"/>
      <c r="G36" s="32"/>
      <c r="H36" s="32"/>
      <c r="I36" s="32"/>
      <c r="J36" s="32"/>
      <c r="K36" s="32"/>
      <c r="L36" s="32"/>
      <c r="M36" s="32">
        <v>813.7</v>
      </c>
      <c r="N36" s="32">
        <v>1550</v>
      </c>
      <c r="O36" s="32">
        <v>1200</v>
      </c>
      <c r="P36" s="32">
        <v>1500</v>
      </c>
      <c r="Q36" s="32">
        <v>1500</v>
      </c>
      <c r="R36" s="32">
        <v>1500</v>
      </c>
      <c r="S36" s="32">
        <v>1500</v>
      </c>
      <c r="T36" s="32"/>
      <c r="U36" s="32">
        <v>1500</v>
      </c>
      <c r="V36" s="32">
        <v>1500</v>
      </c>
      <c r="W36" s="32">
        <v>1500</v>
      </c>
      <c r="X36" s="32">
        <v>1500</v>
      </c>
      <c r="Y36" s="32">
        <v>1500</v>
      </c>
      <c r="Z36" s="32">
        <v>1500</v>
      </c>
      <c r="AA36" s="32">
        <v>1500</v>
      </c>
      <c r="AB36" s="32">
        <v>1575</v>
      </c>
      <c r="AC36" s="32"/>
      <c r="AD36" s="32"/>
      <c r="AE36" s="32"/>
      <c r="AF36" s="32"/>
    </row>
    <row r="37" spans="1:32" s="36" customFormat="1">
      <c r="A37" s="12" t="s">
        <v>12</v>
      </c>
      <c r="B37" s="26">
        <v>354417.72</v>
      </c>
      <c r="C37" s="26"/>
      <c r="D37" s="26"/>
      <c r="E37" s="26"/>
      <c r="F37" s="26"/>
      <c r="G37" s="32"/>
      <c r="H37" s="32"/>
      <c r="I37" s="32"/>
      <c r="J37" s="32"/>
      <c r="K37" s="32"/>
      <c r="L37" s="32"/>
      <c r="M37" s="32">
        <v>124.52</v>
      </c>
      <c r="N37" s="32">
        <v>10887.65</v>
      </c>
      <c r="O37" s="32">
        <v>10335.85</v>
      </c>
      <c r="P37" s="32">
        <v>15651.39</v>
      </c>
      <c r="Q37" s="26">
        <v>1965.62</v>
      </c>
      <c r="R37" s="26">
        <v>6144.88</v>
      </c>
      <c r="S37" s="32">
        <v>4984.8900000000003</v>
      </c>
      <c r="T37" s="32"/>
      <c r="U37" s="32">
        <v>4473.8100000000004</v>
      </c>
      <c r="V37" s="32">
        <v>2388.4499999999998</v>
      </c>
      <c r="W37" s="32">
        <v>19179.439999999999</v>
      </c>
      <c r="X37" s="32">
        <v>1972.16</v>
      </c>
      <c r="Y37" s="32">
        <v>2320.69</v>
      </c>
      <c r="Z37" s="32">
        <v>15155.43</v>
      </c>
      <c r="AA37" s="32">
        <v>10685.61</v>
      </c>
      <c r="AB37" s="32">
        <v>842</v>
      </c>
      <c r="AC37" s="32">
        <v>842</v>
      </c>
      <c r="AD37" s="32">
        <v>842</v>
      </c>
      <c r="AE37" s="32"/>
      <c r="AF37" s="32"/>
    </row>
    <row r="38" spans="1:32" s="36" customFormat="1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s="36" customFormat="1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s="36" customFormat="1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s="36" customFormat="1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s="36" customFormat="1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s="36" customFormat="1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s="36" customFormat="1">
      <c r="A44" s="12" t="s">
        <v>19</v>
      </c>
      <c r="B44" s="29"/>
      <c r="C44" s="31">
        <f>SUM(C30*C45)</f>
        <v>0</v>
      </c>
      <c r="D44" s="31">
        <f t="shared" ref="D44:F44" si="21">SUM(D30*D45)</f>
        <v>0</v>
      </c>
      <c r="E44" s="31">
        <f t="shared" si="21"/>
        <v>0</v>
      </c>
      <c r="F44" s="31">
        <f t="shared" si="21"/>
        <v>0</v>
      </c>
      <c r="G44" s="31"/>
      <c r="H44" s="31">
        <f t="shared" ref="H44:S44" si="22">SUM(H30*H45)</f>
        <v>0</v>
      </c>
      <c r="I44" s="31">
        <f t="shared" si="22"/>
        <v>0</v>
      </c>
      <c r="J44" s="31">
        <f t="shared" si="22"/>
        <v>0</v>
      </c>
      <c r="K44" s="31">
        <f t="shared" si="22"/>
        <v>0</v>
      </c>
      <c r="L44" s="31">
        <f t="shared" si="22"/>
        <v>0</v>
      </c>
      <c r="M44" s="31">
        <f t="shared" si="22"/>
        <v>2321008.7736</v>
      </c>
      <c r="N44" s="31">
        <f t="shared" si="22"/>
        <v>3077566.9244999997</v>
      </c>
      <c r="O44" s="31">
        <f t="shared" si="22"/>
        <v>1265559.7080000001</v>
      </c>
      <c r="P44" s="31">
        <f t="shared" si="22"/>
        <v>1261858.5559999999</v>
      </c>
      <c r="Q44" s="31">
        <f t="shared" si="22"/>
        <v>3817905.5253000003</v>
      </c>
      <c r="R44" s="31">
        <f t="shared" si="22"/>
        <v>3237625.7774999999</v>
      </c>
      <c r="S44" s="31">
        <f t="shared" si="22"/>
        <v>3513340.5748999994</v>
      </c>
      <c r="T44" s="31"/>
      <c r="U44" s="31">
        <f t="shared" ref="U44:AF44" si="23">SUM(U30*U45)</f>
        <v>3530315.7035999992</v>
      </c>
      <c r="V44" s="31">
        <f t="shared" si="23"/>
        <v>3887879.1184</v>
      </c>
      <c r="W44" s="31">
        <f t="shared" si="23"/>
        <v>1436729.7760000001</v>
      </c>
      <c r="X44" s="31">
        <f t="shared" si="23"/>
        <v>4155481.6128000002</v>
      </c>
      <c r="Y44" s="31">
        <f t="shared" si="23"/>
        <v>4099003.8208000003</v>
      </c>
      <c r="Z44" s="31">
        <f t="shared" si="23"/>
        <v>2050986.0696</v>
      </c>
      <c r="AA44" s="31">
        <f t="shared" si="23"/>
        <v>2776055.8633000003</v>
      </c>
      <c r="AB44" s="31">
        <f t="shared" si="23"/>
        <v>4650258.4884000001</v>
      </c>
      <c r="AC44" s="31">
        <f t="shared" si="23"/>
        <v>-135048.37999999998</v>
      </c>
      <c r="AD44" s="31">
        <f t="shared" si="23"/>
        <v>0</v>
      </c>
      <c r="AE44" s="31">
        <f t="shared" si="23"/>
        <v>0</v>
      </c>
      <c r="AF44" s="31">
        <f t="shared" si="23"/>
        <v>0</v>
      </c>
    </row>
    <row r="45" spans="1:32" s="36" customFormat="1">
      <c r="A45" s="12" t="s">
        <v>20</v>
      </c>
      <c r="B45" s="29"/>
      <c r="C45" s="33">
        <f>SUM(C31-C36-C37)</f>
        <v>0</v>
      </c>
      <c r="D45" s="33">
        <f t="shared" ref="D45:F45" si="24">SUM(D31-D36-D37)</f>
        <v>0</v>
      </c>
      <c r="E45" s="33">
        <f t="shared" si="24"/>
        <v>0</v>
      </c>
      <c r="F45" s="33">
        <f t="shared" si="24"/>
        <v>0</v>
      </c>
      <c r="G45" s="33"/>
      <c r="H45" s="33">
        <f t="shared" ref="H45:S45" si="25">SUM(H31-H36-H37)</f>
        <v>0</v>
      </c>
      <c r="I45" s="33">
        <f t="shared" si="25"/>
        <v>0</v>
      </c>
      <c r="J45" s="33">
        <f t="shared" si="25"/>
        <v>0</v>
      </c>
      <c r="K45" s="33">
        <f t="shared" si="25"/>
        <v>0</v>
      </c>
      <c r="L45" s="33">
        <f t="shared" si="25"/>
        <v>0</v>
      </c>
      <c r="M45" s="33">
        <f t="shared" si="25"/>
        <v>15029.519999999999</v>
      </c>
      <c r="N45" s="33">
        <f t="shared" si="25"/>
        <v>20562.349999999999</v>
      </c>
      <c r="O45" s="33">
        <f t="shared" si="25"/>
        <v>8464.15</v>
      </c>
      <c r="P45" s="33">
        <f t="shared" si="25"/>
        <v>8850.7999999999993</v>
      </c>
      <c r="Q45" s="33">
        <f t="shared" si="25"/>
        <v>26537.190000000002</v>
      </c>
      <c r="R45" s="33">
        <f t="shared" si="25"/>
        <v>22357.75</v>
      </c>
      <c r="S45" s="33">
        <f t="shared" si="25"/>
        <v>23517.91</v>
      </c>
      <c r="T45" s="33"/>
      <c r="U45" s="33">
        <f t="shared" ref="U45:AF45" si="26">SUM(U31-U36-U37)</f>
        <v>24028.829999999998</v>
      </c>
      <c r="V45" s="33">
        <f t="shared" si="26"/>
        <v>26114.18</v>
      </c>
      <c r="W45" s="33">
        <f t="shared" si="26"/>
        <v>9323.36</v>
      </c>
      <c r="X45" s="33">
        <f t="shared" si="26"/>
        <v>26530.560000000001</v>
      </c>
      <c r="Y45" s="33">
        <f t="shared" si="26"/>
        <v>26181.68</v>
      </c>
      <c r="Z45" s="33">
        <f t="shared" si="26"/>
        <v>13347.560000000001</v>
      </c>
      <c r="AA45" s="33">
        <f t="shared" si="26"/>
        <v>17816.93</v>
      </c>
      <c r="AB45" s="33">
        <f t="shared" si="26"/>
        <v>29085.93</v>
      </c>
      <c r="AC45" s="33">
        <f t="shared" si="26"/>
        <v>-842</v>
      </c>
      <c r="AD45" s="33">
        <f t="shared" si="26"/>
        <v>-842</v>
      </c>
      <c r="AE45" s="33">
        <f t="shared" si="26"/>
        <v>0</v>
      </c>
      <c r="AF45" s="33">
        <f t="shared" si="26"/>
        <v>0</v>
      </c>
    </row>
    <row r="46" spans="1:32" s="36" customFormat="1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s="36" customFormat="1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  <row r="48" spans="1:32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3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23" s="36" customFormat="1">
      <c r="A50" s="35"/>
      <c r="B50" s="35"/>
      <c r="C50" s="35"/>
      <c r="D50" s="35"/>
      <c r="E50" s="35"/>
      <c r="F50" s="35"/>
      <c r="R50" s="36">
        <v>10104.01</v>
      </c>
    </row>
    <row r="51" spans="1:23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57">
        <v>842.01</v>
      </c>
      <c r="S51" s="2"/>
      <c r="T51" s="2"/>
      <c r="U51" s="2"/>
      <c r="V51" s="2"/>
    </row>
    <row r="52" spans="1:23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57">
        <v>842</v>
      </c>
      <c r="S52" s="2"/>
    </row>
    <row r="53" spans="1:23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57">
        <v>842</v>
      </c>
      <c r="S53" s="2"/>
    </row>
    <row r="54" spans="1:23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57">
        <v>842</v>
      </c>
      <c r="S54" s="3"/>
    </row>
    <row r="55" spans="1:23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57">
        <v>842</v>
      </c>
      <c r="S55" s="2"/>
    </row>
    <row r="56" spans="1:23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57">
        <v>842</v>
      </c>
      <c r="S56" s="4"/>
    </row>
    <row r="57" spans="1:23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57">
        <v>842</v>
      </c>
      <c r="S57" s="4"/>
    </row>
    <row r="58" spans="1:23" s="36" customFormat="1">
      <c r="A58" s="35"/>
      <c r="B58" s="35"/>
      <c r="C58" s="35"/>
      <c r="D58" s="35"/>
      <c r="E58" s="35"/>
      <c r="F58" s="35"/>
      <c r="R58" s="57">
        <v>842</v>
      </c>
    </row>
    <row r="59" spans="1:23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57">
        <v>842</v>
      </c>
      <c r="S59" s="2"/>
      <c r="T59" s="2"/>
      <c r="U59" s="2"/>
      <c r="V59" s="2"/>
      <c r="W59" s="2"/>
    </row>
    <row r="60" spans="1:23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57">
        <v>842</v>
      </c>
      <c r="S60" s="2"/>
    </row>
    <row r="61" spans="1:23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7">
        <v>842</v>
      </c>
      <c r="S61" s="2"/>
    </row>
    <row r="62" spans="1:23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57">
        <v>842</v>
      </c>
      <c r="S62" s="3"/>
    </row>
    <row r="63" spans="1:23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57">
        <f>SUM(R51:R62)</f>
        <v>10104.01</v>
      </c>
      <c r="S63" s="2"/>
    </row>
    <row r="64" spans="1:23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25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25" s="36" customFormat="1">
      <c r="A66" s="35"/>
      <c r="B66" s="35"/>
      <c r="C66" s="35"/>
      <c r="D66" s="35"/>
      <c r="E66" s="35"/>
      <c r="F66" s="35"/>
    </row>
    <row r="67" spans="1:25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25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25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25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25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25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25" s="36" customFormat="1">
      <c r="A74" s="35"/>
      <c r="B74" s="35"/>
      <c r="C74" s="35"/>
      <c r="D74" s="35"/>
      <c r="E74" s="35"/>
      <c r="F74" s="35"/>
    </row>
    <row r="75" spans="1:25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25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25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5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25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26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26" s="36" customFormat="1">
      <c r="A82" s="35"/>
    </row>
    <row r="83" spans="1:26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26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26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26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26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6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6" s="36" customFormat="1">
      <c r="A90" s="35"/>
    </row>
    <row r="91" spans="1:26" s="36" customFormat="1">
      <c r="A91" s="35"/>
    </row>
    <row r="92" spans="1:26" s="36" customFormat="1">
      <c r="A92" s="35"/>
    </row>
    <row r="93" spans="1:26" s="36" customFormat="1">
      <c r="A93" s="35"/>
    </row>
    <row r="94" spans="1:26" s="36" customFormat="1">
      <c r="A94" s="35"/>
    </row>
    <row r="95" spans="1:26" s="36" customFormat="1">
      <c r="A95" s="35"/>
    </row>
    <row r="96" spans="1:26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4D83-7C3E-4B9B-B1DB-B5CD40334C2E}">
  <dimension ref="A1:AM106"/>
  <sheetViews>
    <sheetView zoomScale="90" zoomScaleNormal="90" workbookViewId="0">
      <pane xSplit="1" ySplit="1" topLeftCell="N2" activePane="bottomRight" state="frozen"/>
      <selection pane="bottomRight" activeCell="AB6" sqref="AB6"/>
      <selection pane="bottomLeft" activeCell="A2" sqref="A2"/>
      <selection pane="topRight" activeCell="B1" sqref="B1"/>
    </sheetView>
  </sheetViews>
  <sheetFormatPr defaultRowHeight="18"/>
  <cols>
    <col min="1" max="1" width="19.75" style="12" customWidth="1"/>
    <col min="2" max="2" width="13.375" customWidth="1"/>
    <col min="3" max="6" width="10.625" customWidth="1"/>
    <col min="7" max="7" width="10.375" customWidth="1"/>
    <col min="8" max="8" width="10.75" customWidth="1"/>
    <col min="9" max="19" width="10.875" customWidth="1"/>
    <col min="20" max="20" width="10.75" customWidth="1"/>
    <col min="21" max="32" width="11.5" bestFit="1" customWidth="1"/>
    <col min="33" max="33" width="10.375" bestFit="1" customWidth="1"/>
    <col min="34" max="34" width="25.875" customWidth="1"/>
    <col min="35" max="35" width="12.375" bestFit="1" customWidth="1"/>
    <col min="36" max="37" width="13.875" bestFit="1" customWidth="1"/>
  </cols>
  <sheetData>
    <row r="1" spans="1:36">
      <c r="A1" s="23" t="s">
        <v>97</v>
      </c>
      <c r="B1" s="22">
        <v>2024</v>
      </c>
      <c r="C1" s="5">
        <v>45412</v>
      </c>
      <c r="D1" s="5">
        <v>45443</v>
      </c>
      <c r="E1" s="5">
        <v>45473</v>
      </c>
      <c r="F1" s="5">
        <v>45504</v>
      </c>
      <c r="G1" s="22">
        <v>2025</v>
      </c>
      <c r="H1" s="5">
        <v>45535</v>
      </c>
      <c r="I1" s="5">
        <v>45565</v>
      </c>
      <c r="J1" s="10">
        <v>45596</v>
      </c>
      <c r="K1" s="10">
        <v>45626</v>
      </c>
      <c r="L1" s="10">
        <v>45657</v>
      </c>
      <c r="M1" s="5">
        <v>45688</v>
      </c>
      <c r="N1" s="5">
        <v>45716</v>
      </c>
      <c r="O1" s="5">
        <v>45747</v>
      </c>
      <c r="P1" s="5">
        <v>45777</v>
      </c>
      <c r="Q1" s="5">
        <v>45808</v>
      </c>
      <c r="R1" s="5">
        <v>45838</v>
      </c>
      <c r="S1" s="5">
        <v>45869</v>
      </c>
      <c r="T1" s="22">
        <v>2026</v>
      </c>
      <c r="U1" s="5">
        <v>45900</v>
      </c>
      <c r="V1" s="5">
        <v>45930</v>
      </c>
      <c r="W1" s="10">
        <v>45961</v>
      </c>
      <c r="X1" s="10">
        <v>45991</v>
      </c>
      <c r="Y1" s="10">
        <v>46022</v>
      </c>
      <c r="Z1" s="5">
        <v>46053</v>
      </c>
      <c r="AA1" s="5">
        <v>46081</v>
      </c>
      <c r="AB1" s="5">
        <v>46112</v>
      </c>
      <c r="AC1" s="5">
        <v>46142</v>
      </c>
      <c r="AD1" s="5">
        <v>46173</v>
      </c>
      <c r="AE1" s="5">
        <v>46203</v>
      </c>
      <c r="AF1" s="5">
        <v>46234</v>
      </c>
    </row>
    <row r="2" spans="1:36">
      <c r="A2" s="12" t="s">
        <v>1</v>
      </c>
      <c r="B2" s="24">
        <f>B3*150</f>
        <v>1350000000</v>
      </c>
      <c r="C2" s="24"/>
      <c r="D2" s="24"/>
      <c r="E2" s="24"/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1:36">
      <c r="A3" s="12" t="s">
        <v>2</v>
      </c>
      <c r="B3" s="24">
        <v>9000000</v>
      </c>
      <c r="C3" s="24"/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</row>
    <row r="4" spans="1:36">
      <c r="A4" s="12" t="s">
        <v>3</v>
      </c>
      <c r="B4" s="24">
        <f>B5*B6</f>
        <v>9596112</v>
      </c>
      <c r="C4" s="24"/>
      <c r="D4" s="24"/>
      <c r="E4" s="24"/>
      <c r="F4" s="24">
        <f t="shared" ref="F4" si="0">F5*F6</f>
        <v>0</v>
      </c>
      <c r="G4" s="24"/>
      <c r="H4" s="24">
        <f t="shared" ref="H4:S4" si="1">H5*H6</f>
        <v>0</v>
      </c>
      <c r="I4" s="24">
        <f t="shared" si="1"/>
        <v>0</v>
      </c>
      <c r="J4" s="24">
        <f t="shared" si="1"/>
        <v>0</v>
      </c>
      <c r="K4" s="24">
        <f t="shared" si="1"/>
        <v>0</v>
      </c>
      <c r="L4" s="24">
        <f t="shared" si="1"/>
        <v>0</v>
      </c>
      <c r="M4" s="24">
        <f t="shared" si="1"/>
        <v>0</v>
      </c>
      <c r="N4" s="24">
        <f t="shared" si="1"/>
        <v>0</v>
      </c>
      <c r="O4" s="24">
        <f t="shared" si="1"/>
        <v>0</v>
      </c>
      <c r="P4" s="24">
        <f t="shared" si="1"/>
        <v>0</v>
      </c>
      <c r="Q4" s="24">
        <f t="shared" si="1"/>
        <v>3762163.0938000004</v>
      </c>
      <c r="R4" s="24">
        <f t="shared" si="1"/>
        <v>7180965.7127999999</v>
      </c>
      <c r="S4" s="24">
        <f t="shared" si="1"/>
        <v>8618917.1173</v>
      </c>
      <c r="T4" s="24"/>
      <c r="U4" s="24">
        <f t="shared" ref="U4:AF4" si="2">U5*U6</f>
        <v>7416630.3207999989</v>
      </c>
      <c r="V4" s="24">
        <f t="shared" si="2"/>
        <v>7266596.0808000006</v>
      </c>
      <c r="W4" s="24">
        <f t="shared" si="2"/>
        <v>9435954.4469999988</v>
      </c>
      <c r="X4" s="24">
        <f t="shared" si="2"/>
        <v>9848712.7091999985</v>
      </c>
      <c r="Y4" s="24">
        <f t="shared" si="2"/>
        <v>8779516.8839999996</v>
      </c>
      <c r="Z4" s="24">
        <f t="shared" si="2"/>
        <v>9164053.4465999994</v>
      </c>
      <c r="AA4" s="24">
        <f t="shared" si="2"/>
        <v>10020566.461300001</v>
      </c>
      <c r="AB4" s="24">
        <f t="shared" si="2"/>
        <v>8168814.3908000002</v>
      </c>
      <c r="AC4" s="24">
        <f t="shared" si="2"/>
        <v>0</v>
      </c>
      <c r="AD4" s="24">
        <f t="shared" si="2"/>
        <v>0</v>
      </c>
      <c r="AE4" s="24">
        <f t="shared" si="2"/>
        <v>0</v>
      </c>
      <c r="AF4" s="24">
        <f t="shared" si="2"/>
        <v>0</v>
      </c>
    </row>
    <row r="5" spans="1:36">
      <c r="A5" s="12" t="s">
        <v>4</v>
      </c>
      <c r="B5" s="26">
        <f>'NY不動産(総計)'!B5</f>
        <v>150</v>
      </c>
      <c r="C5" s="26">
        <f>'NY不動産(総計)'!C5</f>
        <v>156.9</v>
      </c>
      <c r="D5" s="26">
        <f>'NY不動産(総計)'!D5</f>
        <v>156.74</v>
      </c>
      <c r="E5" s="26">
        <f>'NY不動産(総計)'!E5</f>
        <v>161.07</v>
      </c>
      <c r="F5" s="26">
        <f>'NY不動産(総計)'!F5</f>
        <v>152.44</v>
      </c>
      <c r="G5" s="26"/>
      <c r="H5" s="26">
        <f>'NY不動産(総計)'!H5</f>
        <v>144.80000000000001</v>
      </c>
      <c r="I5" s="26">
        <f>'NY不動産(総計)'!I5</f>
        <v>142.72999999999999</v>
      </c>
      <c r="J5" s="26">
        <f>'NY不動産(総計)'!J5</f>
        <v>153.63999999999999</v>
      </c>
      <c r="K5" s="26">
        <f>'NY不動産(総計)'!K5</f>
        <v>150.74</v>
      </c>
      <c r="L5" s="26">
        <f>'NY不動産(総計)'!L5</f>
        <v>158.18</v>
      </c>
      <c r="M5" s="26">
        <f>'NY不動産(総計)'!M5</f>
        <v>154.43</v>
      </c>
      <c r="N5" s="26">
        <f>'NY不動産(総計)'!N5</f>
        <v>149.66999999999999</v>
      </c>
      <c r="O5" s="26">
        <f>'NY不動産(総計)'!O5</f>
        <v>149.52000000000001</v>
      </c>
      <c r="P5" s="26">
        <f>'NY不動産(総計)'!P5</f>
        <v>142.57</v>
      </c>
      <c r="Q5" s="26">
        <f>'NY不動産(総計)'!Q5</f>
        <v>143.87</v>
      </c>
      <c r="R5" s="26">
        <f>'NY不動産(総計)'!R5</f>
        <v>144.81</v>
      </c>
      <c r="S5" s="26">
        <f>'NY不動産(総計)'!S5</f>
        <v>149.38999999999999</v>
      </c>
      <c r="T5" s="26"/>
      <c r="U5" s="26">
        <f>'NY不動産(総計)'!U5</f>
        <v>146.91999999999999</v>
      </c>
      <c r="V5" s="26">
        <f>'NY不動産(総計)'!V5</f>
        <v>148.88</v>
      </c>
      <c r="W5" s="26">
        <f>'NY不動産(総計)'!W5</f>
        <v>154.1</v>
      </c>
      <c r="X5" s="26">
        <f>'NY不動産(総計)'!X5</f>
        <v>156.63</v>
      </c>
      <c r="Y5" s="26">
        <f>'NY不動産(総計)'!Y5</f>
        <v>156.56</v>
      </c>
      <c r="Z5" s="26">
        <f>'NY不動産(総計)'!Z5</f>
        <v>153.66</v>
      </c>
      <c r="AA5" s="26">
        <f>'NY不動産(総計)'!AA5</f>
        <v>155.81</v>
      </c>
      <c r="AB5" s="26">
        <f>'NY不動産(総計)'!AB5</f>
        <v>159.88</v>
      </c>
      <c r="AC5" s="26">
        <f>'NY不動産(総計)'!AC5</f>
        <v>160.38999999999999</v>
      </c>
      <c r="AD5" s="26">
        <f>'NY不動産(総計)'!AD5</f>
        <v>0</v>
      </c>
      <c r="AE5" s="26">
        <f>'NY不動産(総計)'!AE5</f>
        <v>0</v>
      </c>
      <c r="AF5" s="26">
        <f>'NY不動産(総計)'!AF5</f>
        <v>0</v>
      </c>
    </row>
    <row r="6" spans="1:36">
      <c r="A6" s="12" t="s">
        <v>6</v>
      </c>
      <c r="B6" s="26">
        <v>63974.080000000002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>
        <v>26149.74</v>
      </c>
      <c r="R6" s="26">
        <v>49588.88</v>
      </c>
      <c r="S6" s="26">
        <v>57694.07</v>
      </c>
      <c r="T6" s="26"/>
      <c r="U6" s="26">
        <v>50480.74</v>
      </c>
      <c r="V6" s="26">
        <v>48808.41</v>
      </c>
      <c r="W6" s="26">
        <v>61232.67</v>
      </c>
      <c r="X6" s="26">
        <v>62878.84</v>
      </c>
      <c r="Y6" s="26">
        <v>56077.65</v>
      </c>
      <c r="Z6" s="26">
        <v>59638.51</v>
      </c>
      <c r="AA6" s="26">
        <v>64312.73</v>
      </c>
      <c r="AB6" s="26">
        <v>51093.41</v>
      </c>
      <c r="AC6" s="26"/>
      <c r="AD6" s="26"/>
      <c r="AE6" s="26"/>
      <c r="AF6" s="26"/>
    </row>
    <row r="7" spans="1:36">
      <c r="A7" s="12" t="s">
        <v>7</v>
      </c>
      <c r="B7" s="24">
        <v>975722914</v>
      </c>
      <c r="C7" s="24"/>
      <c r="D7" s="24"/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>
        <v>11627364</v>
      </c>
      <c r="R7" s="25">
        <v>11627364</v>
      </c>
      <c r="S7" s="25">
        <v>11627365</v>
      </c>
      <c r="T7" s="25"/>
      <c r="U7" s="25">
        <v>11627364</v>
      </c>
      <c r="V7" s="25">
        <v>11627364</v>
      </c>
      <c r="W7" s="25">
        <v>11627364</v>
      </c>
      <c r="X7" s="25">
        <v>11627364</v>
      </c>
      <c r="Y7" s="25">
        <v>11627364</v>
      </c>
      <c r="Z7" s="25">
        <v>11627367</v>
      </c>
      <c r="AA7" s="25">
        <v>11627364</v>
      </c>
      <c r="AB7" s="25">
        <v>11627364</v>
      </c>
      <c r="AC7" s="25">
        <v>11627364</v>
      </c>
      <c r="AD7" s="25">
        <v>11627364</v>
      </c>
      <c r="AE7" s="25">
        <v>11627364</v>
      </c>
      <c r="AF7" s="25">
        <v>11627369</v>
      </c>
    </row>
    <row r="8" spans="1:36">
      <c r="A8" s="12" t="s">
        <v>8</v>
      </c>
      <c r="B8" s="24"/>
      <c r="C8" s="24"/>
      <c r="D8" s="24"/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</row>
    <row r="9" spans="1:36">
      <c r="A9" s="12" t="s">
        <v>9</v>
      </c>
      <c r="B9" s="24">
        <v>975722914</v>
      </c>
      <c r="C9" s="24"/>
      <c r="D9" s="24"/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>
        <f>B9-Q7</f>
        <v>964095550</v>
      </c>
      <c r="R9" s="25">
        <f t="shared" ref="R9:S9" si="3">Q9-R7</f>
        <v>952468186</v>
      </c>
      <c r="S9" s="25">
        <f t="shared" si="3"/>
        <v>940840821</v>
      </c>
      <c r="T9" s="25"/>
      <c r="U9" s="25">
        <f>S9-U7</f>
        <v>929213457</v>
      </c>
      <c r="V9" s="25">
        <f>U9-V7</f>
        <v>917586093</v>
      </c>
      <c r="W9" s="25">
        <f t="shared" ref="W9:AF9" si="4">V9-W7</f>
        <v>905958729</v>
      </c>
      <c r="X9" s="25">
        <f t="shared" si="4"/>
        <v>894331365</v>
      </c>
      <c r="Y9" s="25">
        <f t="shared" si="4"/>
        <v>882704001</v>
      </c>
      <c r="Z9" s="25">
        <f t="shared" si="4"/>
        <v>871076634</v>
      </c>
      <c r="AA9" s="25">
        <f t="shared" si="4"/>
        <v>859449270</v>
      </c>
      <c r="AB9" s="25">
        <f t="shared" si="4"/>
        <v>847821906</v>
      </c>
      <c r="AC9" s="25">
        <f t="shared" si="4"/>
        <v>836194542</v>
      </c>
      <c r="AD9" s="25">
        <f t="shared" si="4"/>
        <v>824567178</v>
      </c>
      <c r="AE9" s="25">
        <f t="shared" si="4"/>
        <v>812939814</v>
      </c>
      <c r="AF9" s="25">
        <f t="shared" si="4"/>
        <v>801312445</v>
      </c>
      <c r="AI9" t="s">
        <v>98</v>
      </c>
      <c r="AJ9" t="s">
        <v>99</v>
      </c>
    </row>
    <row r="10" spans="1:36">
      <c r="A10" s="12" t="s">
        <v>10</v>
      </c>
      <c r="B10" s="24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I10" s="47"/>
      <c r="AJ10" s="47"/>
    </row>
    <row r="11" spans="1:36">
      <c r="A11" s="12" t="s">
        <v>11</v>
      </c>
      <c r="B11" s="24"/>
      <c r="C11" s="26"/>
      <c r="D11" s="26"/>
      <c r="E11" s="26"/>
      <c r="F11" s="26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>
        <v>1307.49</v>
      </c>
      <c r="R11" s="32">
        <v>2479.27</v>
      </c>
      <c r="S11" s="32">
        <v>2884.37</v>
      </c>
      <c r="T11" s="32"/>
      <c r="U11" s="32">
        <v>2341.3000000000002</v>
      </c>
      <c r="V11" s="32">
        <v>2440.21</v>
      </c>
      <c r="W11" s="32">
        <v>2951.4</v>
      </c>
      <c r="X11" s="32">
        <v>3088.46</v>
      </c>
      <c r="Y11" s="32">
        <v>1463.39</v>
      </c>
      <c r="Z11" s="32">
        <v>2862.62</v>
      </c>
      <c r="AA11" s="32">
        <v>2981.66</v>
      </c>
      <c r="AB11" s="32">
        <v>3256.37</v>
      </c>
      <c r="AC11" s="32"/>
      <c r="AD11" s="32"/>
      <c r="AE11" s="32"/>
      <c r="AF11" s="32"/>
      <c r="AG11" s="64">
        <f>SUM(C36:AF36)</f>
        <v>28056.539999999997</v>
      </c>
      <c r="AH11" t="s">
        <v>26</v>
      </c>
      <c r="AI11" s="47">
        <v>12852</v>
      </c>
      <c r="AJ11" s="47">
        <v>6335.14</v>
      </c>
    </row>
    <row r="12" spans="1:36">
      <c r="A12" s="12" t="s">
        <v>12</v>
      </c>
      <c r="B12" s="26">
        <v>264881.43</v>
      </c>
      <c r="C12" s="26"/>
      <c r="D12" s="26"/>
      <c r="E12" s="26"/>
      <c r="F12" s="26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>
        <v>-70</v>
      </c>
      <c r="R12" s="32">
        <v>34155.72</v>
      </c>
      <c r="S12" s="32">
        <v>136327.59</v>
      </c>
      <c r="T12" s="32"/>
      <c r="U12" s="32">
        <v>21050.66</v>
      </c>
      <c r="V12" s="32">
        <v>8821.26</v>
      </c>
      <c r="W12" s="32">
        <v>17258.22</v>
      </c>
      <c r="X12" s="32">
        <v>16179.27</v>
      </c>
      <c r="Y12" s="32">
        <v>19748.45</v>
      </c>
      <c r="Z12" s="32">
        <v>15743.72</v>
      </c>
      <c r="AA12" s="32">
        <v>12896.03</v>
      </c>
      <c r="AB12" s="32">
        <v>10572.58</v>
      </c>
      <c r="AC12" s="32"/>
      <c r="AD12" s="32"/>
      <c r="AE12" s="32"/>
      <c r="AF12" s="32"/>
      <c r="AG12" s="64">
        <v>0</v>
      </c>
      <c r="AH12" t="s">
        <v>27</v>
      </c>
      <c r="AI12" s="47">
        <v>13297.74</v>
      </c>
      <c r="AJ12" s="47">
        <v>9036.1299999999992</v>
      </c>
    </row>
    <row r="13" spans="1:36">
      <c r="A13" s="12" t="s">
        <v>13</v>
      </c>
      <c r="B13" s="27"/>
      <c r="C13" s="27"/>
      <c r="D13" s="27"/>
      <c r="E13" s="27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64">
        <v>119513.83</v>
      </c>
      <c r="AH13" t="s">
        <v>28</v>
      </c>
      <c r="AI13" s="47">
        <v>23756.57</v>
      </c>
      <c r="AJ13" s="47">
        <v>63.29</v>
      </c>
    </row>
    <row r="14" spans="1:36">
      <c r="A14" s="12" t="s">
        <v>14</v>
      </c>
      <c r="B14" s="27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64">
        <v>50899.48</v>
      </c>
      <c r="AH14" t="s">
        <v>29</v>
      </c>
      <c r="AI14" s="47">
        <v>25021.35</v>
      </c>
      <c r="AJ14" s="47">
        <v>11.99</v>
      </c>
    </row>
    <row r="15" spans="1:36">
      <c r="A15" s="12" t="s">
        <v>15</v>
      </c>
      <c r="B15" s="29">
        <f>B13/B2</f>
        <v>0</v>
      </c>
      <c r="C15" s="29"/>
      <c r="D15" s="29"/>
      <c r="E15" s="29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64">
        <f>SUM(AG11:AG14)</f>
        <v>198469.85</v>
      </c>
      <c r="AH15" t="s">
        <v>30</v>
      </c>
      <c r="AI15" s="47">
        <v>103.66</v>
      </c>
      <c r="AJ15" s="47">
        <v>434.9</v>
      </c>
    </row>
    <row r="16" spans="1:36">
      <c r="A16" s="12" t="s">
        <v>16</v>
      </c>
      <c r="B16" s="29"/>
      <c r="C16" s="29"/>
      <c r="D16" s="29"/>
      <c r="E16" s="29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I16" s="47">
        <v>185</v>
      </c>
    </row>
    <row r="17" spans="1:37">
      <c r="A17" s="12" t="s">
        <v>17</v>
      </c>
      <c r="B17" s="29">
        <f>B13/B9</f>
        <v>0</v>
      </c>
      <c r="C17" s="29"/>
      <c r="D17" s="29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I17" s="47">
        <v>7.61</v>
      </c>
    </row>
    <row r="18" spans="1:37">
      <c r="A18" s="12" t="s">
        <v>18</v>
      </c>
      <c r="B18" s="29"/>
      <c r="C18" s="29"/>
      <c r="D18" s="29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I18" s="48">
        <f>SUM(AI10:AI17)</f>
        <v>75223.930000000008</v>
      </c>
      <c r="AJ18" s="48">
        <f>SUM(AJ10:AJ17)</f>
        <v>15881.45</v>
      </c>
      <c r="AK18" s="47">
        <f>AJ18+AJ27-AI18</f>
        <v>238731.69</v>
      </c>
    </row>
    <row r="19" spans="1:37">
      <c r="A19" s="12" t="s">
        <v>19</v>
      </c>
      <c r="B19" s="29"/>
      <c r="C19" s="31">
        <f>SUM(C5*C20)</f>
        <v>0</v>
      </c>
      <c r="D19" s="31">
        <f t="shared" ref="D19:F19" si="5">SUM(D5*D20)</f>
        <v>0</v>
      </c>
      <c r="E19" s="31">
        <f t="shared" si="5"/>
        <v>0</v>
      </c>
      <c r="F19" s="31">
        <f t="shared" si="5"/>
        <v>0</v>
      </c>
      <c r="G19" s="31"/>
      <c r="H19" s="31">
        <f t="shared" ref="H19:S19" si="6">SUM(H5*H20)</f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  <c r="M19" s="31">
        <f t="shared" si="6"/>
        <v>0</v>
      </c>
      <c r="N19" s="31">
        <f t="shared" si="6"/>
        <v>0</v>
      </c>
      <c r="O19" s="31">
        <f t="shared" si="6"/>
        <v>0</v>
      </c>
      <c r="P19" s="31">
        <f t="shared" si="6"/>
        <v>0</v>
      </c>
      <c r="Q19" s="31">
        <f t="shared" si="6"/>
        <v>3584125.4075000002</v>
      </c>
      <c r="R19" s="31">
        <f t="shared" si="6"/>
        <v>1875852.8108999999</v>
      </c>
      <c r="S19" s="31">
        <f t="shared" si="6"/>
        <v>-12177957.587099999</v>
      </c>
      <c r="T19" s="31"/>
      <c r="U19" s="31">
        <f t="shared" ref="U19:AF19" si="7">SUM(U5*U20)</f>
        <v>3979883.557599999</v>
      </c>
      <c r="V19" s="31">
        <f t="shared" si="7"/>
        <v>5589988.4271999998</v>
      </c>
      <c r="W19" s="31">
        <f t="shared" si="7"/>
        <v>6321652.004999999</v>
      </c>
      <c r="X19" s="31">
        <f t="shared" si="7"/>
        <v>6830808.1592999995</v>
      </c>
      <c r="Y19" s="31">
        <f t="shared" si="7"/>
        <v>5458591.2135999994</v>
      </c>
      <c r="Z19" s="31">
        <f t="shared" si="7"/>
        <v>6305003.2421999993</v>
      </c>
      <c r="AA19" s="31">
        <f t="shared" si="7"/>
        <v>7546663.5824000016</v>
      </c>
      <c r="AB19" s="31">
        <f t="shared" si="7"/>
        <v>5957841.8647999996</v>
      </c>
      <c r="AC19" s="31">
        <f t="shared" si="7"/>
        <v>0</v>
      </c>
      <c r="AD19" s="31">
        <f t="shared" si="7"/>
        <v>0</v>
      </c>
      <c r="AE19" s="31">
        <f t="shared" si="7"/>
        <v>0</v>
      </c>
      <c r="AF19" s="31">
        <f t="shared" si="7"/>
        <v>0</v>
      </c>
    </row>
    <row r="20" spans="1:37">
      <c r="A20" s="12" t="s">
        <v>20</v>
      </c>
      <c r="B20" s="29"/>
      <c r="C20" s="33">
        <f>SUM(C6-C11-C12)</f>
        <v>0</v>
      </c>
      <c r="D20" s="33">
        <f t="shared" ref="D20:F20" si="8">SUM(D6-D11-D12)</f>
        <v>0</v>
      </c>
      <c r="E20" s="33">
        <f t="shared" si="8"/>
        <v>0</v>
      </c>
      <c r="F20" s="33">
        <f t="shared" si="8"/>
        <v>0</v>
      </c>
      <c r="G20" s="33"/>
      <c r="H20" s="33">
        <f t="shared" ref="H20:S20" si="9">SUM(H6-H11-H12)</f>
        <v>0</v>
      </c>
      <c r="I20" s="33">
        <f t="shared" si="9"/>
        <v>0</v>
      </c>
      <c r="J20" s="33">
        <f t="shared" si="9"/>
        <v>0</v>
      </c>
      <c r="K20" s="33">
        <f t="shared" si="9"/>
        <v>0</v>
      </c>
      <c r="L20" s="33">
        <f t="shared" si="9"/>
        <v>0</v>
      </c>
      <c r="M20" s="33">
        <f t="shared" si="9"/>
        <v>0</v>
      </c>
      <c r="N20" s="33">
        <f t="shared" si="9"/>
        <v>0</v>
      </c>
      <c r="O20" s="33">
        <f t="shared" si="9"/>
        <v>0</v>
      </c>
      <c r="P20" s="33">
        <f t="shared" si="9"/>
        <v>0</v>
      </c>
      <c r="Q20" s="33">
        <f t="shared" si="9"/>
        <v>24912.25</v>
      </c>
      <c r="R20" s="33">
        <f t="shared" si="9"/>
        <v>12953.89</v>
      </c>
      <c r="S20" s="33">
        <f t="shared" si="9"/>
        <v>-81517.89</v>
      </c>
      <c r="T20" s="33"/>
      <c r="U20" s="33">
        <f t="shared" ref="U20:AF20" si="10">SUM(U6-U11-U12)</f>
        <v>27088.779999999995</v>
      </c>
      <c r="V20" s="33">
        <f t="shared" si="10"/>
        <v>37546.94</v>
      </c>
      <c r="W20" s="33">
        <f t="shared" si="10"/>
        <v>41023.049999999996</v>
      </c>
      <c r="X20" s="33">
        <f t="shared" si="10"/>
        <v>43611.11</v>
      </c>
      <c r="Y20" s="33">
        <f t="shared" si="10"/>
        <v>34865.81</v>
      </c>
      <c r="Z20" s="33">
        <f t="shared" si="10"/>
        <v>41032.17</v>
      </c>
      <c r="AA20" s="33">
        <f t="shared" si="10"/>
        <v>48435.040000000008</v>
      </c>
      <c r="AB20" s="33">
        <f t="shared" si="10"/>
        <v>37264.46</v>
      </c>
      <c r="AC20" s="33">
        <f t="shared" si="10"/>
        <v>0</v>
      </c>
      <c r="AD20" s="33">
        <f t="shared" si="10"/>
        <v>0</v>
      </c>
      <c r="AE20" s="33">
        <f t="shared" si="10"/>
        <v>0</v>
      </c>
      <c r="AF20" s="33">
        <f t="shared" si="10"/>
        <v>0</v>
      </c>
      <c r="AJ20" s="47">
        <v>32626.25</v>
      </c>
    </row>
    <row r="21" spans="1:37">
      <c r="A21" s="12" t="s">
        <v>21</v>
      </c>
      <c r="B21" s="29"/>
      <c r="C21" s="29"/>
      <c r="D21" s="29"/>
      <c r="E21" s="29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J21" s="47">
        <v>23756.57</v>
      </c>
    </row>
    <row r="22" spans="1:37">
      <c r="A22" s="12" t="s">
        <v>22</v>
      </c>
      <c r="B22" s="24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J22" s="47">
        <v>25021.35</v>
      </c>
    </row>
    <row r="23" spans="1:37" s="36" customFormat="1">
      <c r="A23" s="35" t="s">
        <v>23</v>
      </c>
      <c r="B23" s="70">
        <v>45792</v>
      </c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J23" s="49">
        <v>1170</v>
      </c>
    </row>
    <row r="24" spans="1:37" s="36" customFormat="1">
      <c r="A24" s="35"/>
      <c r="B24" s="9"/>
      <c r="C24" s="9"/>
      <c r="D24" s="9"/>
      <c r="E24" s="9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J24" s="49">
        <v>180000</v>
      </c>
    </row>
    <row r="25" spans="1:37">
      <c r="A25" s="37" t="s">
        <v>24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J25" s="47">
        <v>400</v>
      </c>
    </row>
    <row r="26" spans="1:37" s="36" customFormat="1">
      <c r="A26" s="23" t="s">
        <v>97</v>
      </c>
      <c r="B26" s="43">
        <v>2024</v>
      </c>
      <c r="C26" s="42">
        <v>45412</v>
      </c>
      <c r="D26" s="42">
        <v>45443</v>
      </c>
      <c r="E26" s="42">
        <v>45473</v>
      </c>
      <c r="F26" s="42">
        <v>45504</v>
      </c>
      <c r="G26" s="43">
        <v>2025</v>
      </c>
      <c r="H26" s="42">
        <v>45535</v>
      </c>
      <c r="I26" s="42">
        <v>45565</v>
      </c>
      <c r="J26" s="44">
        <v>45596</v>
      </c>
      <c r="K26" s="44">
        <v>45626</v>
      </c>
      <c r="L26" s="44">
        <v>45657</v>
      </c>
      <c r="M26" s="42">
        <v>45688</v>
      </c>
      <c r="N26" s="42">
        <v>45716</v>
      </c>
      <c r="O26" s="42">
        <v>45747</v>
      </c>
      <c r="P26" s="42">
        <v>45777</v>
      </c>
      <c r="Q26" s="42">
        <v>45808</v>
      </c>
      <c r="R26" s="42">
        <v>45838</v>
      </c>
      <c r="S26" s="42">
        <v>45869</v>
      </c>
      <c r="T26" s="43">
        <v>2026</v>
      </c>
      <c r="U26" s="42">
        <v>45900</v>
      </c>
      <c r="V26" s="42">
        <v>45930</v>
      </c>
      <c r="W26" s="44">
        <v>45961</v>
      </c>
      <c r="X26" s="42">
        <v>45991</v>
      </c>
      <c r="Y26" s="42">
        <v>46022</v>
      </c>
      <c r="Z26" s="44">
        <v>46053</v>
      </c>
      <c r="AA26" s="42">
        <v>46081</v>
      </c>
      <c r="AB26" s="42">
        <v>46112</v>
      </c>
      <c r="AC26" s="44">
        <v>46142</v>
      </c>
      <c r="AD26" s="42">
        <v>46173</v>
      </c>
      <c r="AE26" s="42">
        <v>46203</v>
      </c>
      <c r="AF26" s="44">
        <v>46234</v>
      </c>
      <c r="AJ26" s="49">
        <v>35100</v>
      </c>
    </row>
    <row r="27" spans="1:37" s="36" customFormat="1">
      <c r="A27" s="12" t="s">
        <v>1</v>
      </c>
      <c r="B27" s="24">
        <f>B28*150</f>
        <v>1350000000</v>
      </c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J27" s="50">
        <f>SUM(AJ20:AJ26)</f>
        <v>298074.17</v>
      </c>
    </row>
    <row r="28" spans="1:37" s="36" customFormat="1">
      <c r="A28" s="12" t="s">
        <v>2</v>
      </c>
      <c r="B28" s="24">
        <v>9000000</v>
      </c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spans="1:37" s="36" customFormat="1">
      <c r="A29" s="12" t="s">
        <v>3</v>
      </c>
      <c r="B29" s="24">
        <f>B30*B31</f>
        <v>0</v>
      </c>
      <c r="C29" s="24"/>
      <c r="D29" s="24"/>
      <c r="E29" s="24"/>
      <c r="F29" s="24">
        <f t="shared" ref="F29" si="11">F30*F31</f>
        <v>0</v>
      </c>
      <c r="G29" s="24"/>
      <c r="H29" s="24">
        <f t="shared" ref="H29:S29" si="12">H30*H31</f>
        <v>0</v>
      </c>
      <c r="I29" s="24">
        <f t="shared" si="12"/>
        <v>0</v>
      </c>
      <c r="J29" s="24">
        <f t="shared" si="12"/>
        <v>0</v>
      </c>
      <c r="K29" s="24">
        <f t="shared" si="12"/>
        <v>0</v>
      </c>
      <c r="L29" s="24">
        <f t="shared" si="12"/>
        <v>0</v>
      </c>
      <c r="M29" s="24">
        <f t="shared" si="12"/>
        <v>0</v>
      </c>
      <c r="N29" s="24">
        <f t="shared" si="12"/>
        <v>0</v>
      </c>
      <c r="O29" s="24">
        <f t="shared" si="12"/>
        <v>0</v>
      </c>
      <c r="P29" s="24">
        <f t="shared" si="12"/>
        <v>0</v>
      </c>
      <c r="Q29" s="24">
        <f t="shared" si="12"/>
        <v>3762163.0938000004</v>
      </c>
      <c r="R29" s="24">
        <f t="shared" si="12"/>
        <v>7180965.7127999999</v>
      </c>
      <c r="S29" s="24">
        <f t="shared" si="12"/>
        <v>8618917.1173</v>
      </c>
      <c r="T29" s="24"/>
      <c r="U29" s="24">
        <f t="shared" ref="U29:AF29" si="13">U30*U31</f>
        <v>7416630.3207999989</v>
      </c>
      <c r="V29" s="24">
        <f t="shared" si="13"/>
        <v>7266596.0808000006</v>
      </c>
      <c r="W29" s="24">
        <f t="shared" si="13"/>
        <v>9435954.4469999988</v>
      </c>
      <c r="X29" s="24">
        <f t="shared" si="13"/>
        <v>9848712.7091999985</v>
      </c>
      <c r="Y29" s="24">
        <f t="shared" si="13"/>
        <v>8779516.8839999996</v>
      </c>
      <c r="Z29" s="24">
        <f t="shared" si="13"/>
        <v>9164053.4465999994</v>
      </c>
      <c r="AA29" s="24">
        <f t="shared" si="13"/>
        <v>10020566.461300001</v>
      </c>
      <c r="AB29" s="24">
        <f t="shared" si="13"/>
        <v>8168814.3908000002</v>
      </c>
      <c r="AC29" s="24">
        <f t="shared" si="13"/>
        <v>0</v>
      </c>
      <c r="AD29" s="24">
        <f t="shared" si="13"/>
        <v>0</v>
      </c>
      <c r="AE29" s="24">
        <f t="shared" si="13"/>
        <v>0</v>
      </c>
      <c r="AF29" s="24">
        <f t="shared" si="13"/>
        <v>0</v>
      </c>
    </row>
    <row r="30" spans="1:37" s="36" customFormat="1">
      <c r="A30" s="12" t="s">
        <v>4</v>
      </c>
      <c r="B30" s="26">
        <f>'NY不動産(総計)'!B30</f>
        <v>150</v>
      </c>
      <c r="C30" s="26">
        <f>'NY不動産(総計)'!C30</f>
        <v>156.9</v>
      </c>
      <c r="D30" s="26">
        <f>'NY不動産(総計)'!D30</f>
        <v>156.74</v>
      </c>
      <c r="E30" s="26">
        <f>'NY不動産(総計)'!E30</f>
        <v>161.07</v>
      </c>
      <c r="F30" s="26">
        <f>'NY不動産(総計)'!F30</f>
        <v>152.44</v>
      </c>
      <c r="G30" s="26"/>
      <c r="H30" s="26">
        <f>'NY不動産(総計)'!H30</f>
        <v>144.80000000000001</v>
      </c>
      <c r="I30" s="26">
        <f>'NY不動産(総計)'!I30</f>
        <v>142.72999999999999</v>
      </c>
      <c r="J30" s="26">
        <f>'NY不動産(総計)'!J30</f>
        <v>153.63999999999999</v>
      </c>
      <c r="K30" s="26">
        <f>'NY不動産(総計)'!K30</f>
        <v>150.74</v>
      </c>
      <c r="L30" s="26">
        <f>'NY不動産(総計)'!L30</f>
        <v>158.18</v>
      </c>
      <c r="M30" s="26">
        <f>'NY不動産(総計)'!M30</f>
        <v>154.43</v>
      </c>
      <c r="N30" s="26">
        <f>'NY不動産(総計)'!N30</f>
        <v>149.66999999999999</v>
      </c>
      <c r="O30" s="26">
        <f>'NY不動産(総計)'!O30</f>
        <v>149.52000000000001</v>
      </c>
      <c r="P30" s="26">
        <f>'NY不動産(総計)'!P30</f>
        <v>142.57</v>
      </c>
      <c r="Q30" s="26">
        <f>'NY不動産(総計)'!Q30</f>
        <v>143.87</v>
      </c>
      <c r="R30" s="26">
        <f>'NY不動産(総計)'!R30</f>
        <v>144.81</v>
      </c>
      <c r="S30" s="26">
        <f>'NY不動産(総計)'!S30</f>
        <v>149.38999999999999</v>
      </c>
      <c r="T30" s="26"/>
      <c r="U30" s="26">
        <f>'NY不動産(総計)'!U30</f>
        <v>146.91999999999999</v>
      </c>
      <c r="V30" s="26">
        <f>'NY不動産(総計)'!V30</f>
        <v>148.88</v>
      </c>
      <c r="W30" s="26">
        <f>'NY不動産(総計)'!W30</f>
        <v>154.1</v>
      </c>
      <c r="X30" s="26">
        <f>'NY不動産(総計)'!X30</f>
        <v>156.63</v>
      </c>
      <c r="Y30" s="26">
        <f>'NY不動産(総計)'!Y30</f>
        <v>156.56</v>
      </c>
      <c r="Z30" s="26">
        <f>'NY不動産(総計)'!Z30</f>
        <v>153.66</v>
      </c>
      <c r="AA30" s="26">
        <f>'NY不動産(総計)'!AA30</f>
        <v>155.81</v>
      </c>
      <c r="AB30" s="26">
        <f>'NY不動産(総計)'!AB30</f>
        <v>159.88</v>
      </c>
      <c r="AC30" s="26">
        <f>'NY不動産(総計)'!AC30</f>
        <v>160.38999999999999</v>
      </c>
      <c r="AD30" s="26">
        <f>'NY不動産(総計)'!AD30</f>
        <v>0</v>
      </c>
      <c r="AE30" s="26">
        <f>'NY不動産(総計)'!AE30</f>
        <v>0</v>
      </c>
      <c r="AF30" s="26">
        <f>'NY不動産(総計)'!AF30</f>
        <v>0</v>
      </c>
    </row>
    <row r="31" spans="1:37" s="36" customFormat="1">
      <c r="A31" s="12" t="s">
        <v>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>
        <v>26149.74</v>
      </c>
      <c r="R31" s="26">
        <v>49588.88</v>
      </c>
      <c r="S31" s="26">
        <v>57694.07</v>
      </c>
      <c r="T31" s="26"/>
      <c r="U31" s="26">
        <v>50480.74</v>
      </c>
      <c r="V31" s="26">
        <v>48808.41</v>
      </c>
      <c r="W31" s="26">
        <v>61232.67</v>
      </c>
      <c r="X31" s="26">
        <v>62878.84</v>
      </c>
      <c r="Y31" s="26">
        <v>56077.65</v>
      </c>
      <c r="Z31" s="26">
        <v>59638.51</v>
      </c>
      <c r="AA31" s="26">
        <v>64312.73</v>
      </c>
      <c r="AB31" s="26">
        <v>51093.41</v>
      </c>
      <c r="AC31" s="26"/>
      <c r="AD31" s="26"/>
      <c r="AE31" s="26"/>
      <c r="AF31" s="26"/>
    </row>
    <row r="32" spans="1:37" s="36" customFormat="1">
      <c r="A32" s="12" t="s">
        <v>7</v>
      </c>
      <c r="B32" s="24">
        <v>975722914</v>
      </c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>
        <v>11627364</v>
      </c>
      <c r="R32" s="25">
        <v>11627364</v>
      </c>
      <c r="S32" s="25">
        <v>11627365</v>
      </c>
      <c r="T32" s="25"/>
      <c r="U32" s="25">
        <v>11627364</v>
      </c>
      <c r="V32" s="25">
        <v>11627364</v>
      </c>
      <c r="W32" s="25">
        <v>11627364</v>
      </c>
      <c r="X32" s="25">
        <v>11627364</v>
      </c>
      <c r="Y32" s="25">
        <v>11627364</v>
      </c>
      <c r="Z32" s="25">
        <v>11627367</v>
      </c>
      <c r="AA32" s="25">
        <v>11627364</v>
      </c>
      <c r="AB32" s="25">
        <v>11627364</v>
      </c>
      <c r="AC32" s="25">
        <v>11627364</v>
      </c>
      <c r="AD32" s="25">
        <v>11627364</v>
      </c>
      <c r="AE32" s="25">
        <v>11627364</v>
      </c>
      <c r="AF32" s="25">
        <v>11627369</v>
      </c>
    </row>
    <row r="33" spans="1:34" s="36" customFormat="1">
      <c r="A33" s="12" t="s">
        <v>8</v>
      </c>
      <c r="B33" s="24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1:34" s="36" customFormat="1">
      <c r="A34" s="12" t="s">
        <v>9</v>
      </c>
      <c r="B34" s="24">
        <v>975722914</v>
      </c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>
        <f>B34-Q32</f>
        <v>964095550</v>
      </c>
      <c r="R34" s="25">
        <f t="shared" ref="R34" si="14">Q34-R32</f>
        <v>952468186</v>
      </c>
      <c r="S34" s="25">
        <f t="shared" ref="S34" si="15">R34-S32</f>
        <v>940840821</v>
      </c>
      <c r="T34" s="25"/>
      <c r="U34" s="25">
        <f>S34-U32</f>
        <v>929213457</v>
      </c>
      <c r="V34" s="25">
        <f>U34-V32</f>
        <v>917586093</v>
      </c>
      <c r="W34" s="25">
        <f t="shared" ref="W34:AF34" si="16">V34-W32</f>
        <v>905958729</v>
      </c>
      <c r="X34" s="25">
        <f t="shared" si="16"/>
        <v>894331365</v>
      </c>
      <c r="Y34" s="25">
        <f t="shared" si="16"/>
        <v>882704001</v>
      </c>
      <c r="Z34" s="25">
        <f t="shared" si="16"/>
        <v>871076634</v>
      </c>
      <c r="AA34" s="25">
        <f t="shared" si="16"/>
        <v>859449270</v>
      </c>
      <c r="AB34" s="25">
        <f t="shared" si="16"/>
        <v>847821906</v>
      </c>
      <c r="AC34" s="25">
        <f t="shared" si="16"/>
        <v>836194542</v>
      </c>
      <c r="AD34" s="25">
        <f t="shared" si="16"/>
        <v>824567178</v>
      </c>
      <c r="AE34" s="25">
        <f t="shared" si="16"/>
        <v>812939814</v>
      </c>
      <c r="AF34" s="25">
        <f t="shared" si="16"/>
        <v>801312445</v>
      </c>
    </row>
    <row r="35" spans="1:34" s="36" customFormat="1">
      <c r="A35" s="12" t="s">
        <v>10</v>
      </c>
      <c r="B35" s="24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</row>
    <row r="36" spans="1:34" s="36" customFormat="1">
      <c r="A36" s="12" t="s">
        <v>11</v>
      </c>
      <c r="B36" s="24"/>
      <c r="C36" s="26"/>
      <c r="D36" s="26"/>
      <c r="E36" s="26"/>
      <c r="F36" s="26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>
        <v>1307.49</v>
      </c>
      <c r="R36" s="32">
        <v>2479.27</v>
      </c>
      <c r="S36" s="32">
        <v>2884.37</v>
      </c>
      <c r="T36" s="32"/>
      <c r="U36" s="32">
        <v>2341.3000000000002</v>
      </c>
      <c r="V36" s="32">
        <v>2440.21</v>
      </c>
      <c r="W36" s="32">
        <v>2951.4</v>
      </c>
      <c r="X36" s="32">
        <v>3088.46</v>
      </c>
      <c r="Y36" s="32">
        <v>1463.39</v>
      </c>
      <c r="Z36" s="32">
        <v>2862.62</v>
      </c>
      <c r="AA36" s="32">
        <v>2981.66</v>
      </c>
      <c r="AB36" s="32">
        <v>3256.37</v>
      </c>
      <c r="AC36" s="32"/>
      <c r="AD36" s="32"/>
      <c r="AE36" s="32"/>
      <c r="AF36" s="32"/>
      <c r="AG36" s="36">
        <v>248</v>
      </c>
    </row>
    <row r="37" spans="1:34" s="36" customFormat="1">
      <c r="A37" s="12" t="s">
        <v>12</v>
      </c>
      <c r="B37" s="26">
        <v>264881.43</v>
      </c>
      <c r="C37" s="26"/>
      <c r="D37" s="26"/>
      <c r="E37" s="26"/>
      <c r="F37" s="26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>
        <v>-70</v>
      </c>
      <c r="R37" s="32">
        <v>34155.72</v>
      </c>
      <c r="S37" s="32">
        <v>26773.31</v>
      </c>
      <c r="T37" s="32"/>
      <c r="U37" s="32">
        <v>31010.14</v>
      </c>
      <c r="V37" s="32">
        <v>18780.740000000002</v>
      </c>
      <c r="W37" s="32">
        <v>27217.7</v>
      </c>
      <c r="X37" s="32">
        <v>26138.75</v>
      </c>
      <c r="Y37" s="32">
        <v>29707.93</v>
      </c>
      <c r="Z37" s="32">
        <v>25703.200000000001</v>
      </c>
      <c r="AA37" s="32">
        <v>22855.51</v>
      </c>
      <c r="AB37" s="32">
        <v>9959.48</v>
      </c>
      <c r="AC37" s="32">
        <v>9959.48</v>
      </c>
      <c r="AD37" s="32">
        <v>9959.48</v>
      </c>
      <c r="AE37" s="32">
        <v>9959.48</v>
      </c>
      <c r="AF37" s="32"/>
      <c r="AG37" s="36" t="s">
        <v>100</v>
      </c>
    </row>
    <row r="38" spans="1:34" s="36" customFormat="1">
      <c r="A38" s="12" t="s">
        <v>13</v>
      </c>
      <c r="B38" s="27"/>
      <c r="C38" s="27"/>
      <c r="D38" s="27"/>
      <c r="E38" s="27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36" t="s">
        <v>101</v>
      </c>
    </row>
    <row r="39" spans="1:34" s="36" customFormat="1">
      <c r="A39" s="12" t="s">
        <v>14</v>
      </c>
      <c r="B39" s="27"/>
      <c r="C39" s="27"/>
      <c r="D39" s="27"/>
      <c r="E39" s="27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36" t="s">
        <v>102</v>
      </c>
    </row>
    <row r="40" spans="1:34" s="36" customFormat="1">
      <c r="A40" s="12" t="s">
        <v>15</v>
      </c>
      <c r="B40" s="29">
        <f>B38/B27</f>
        <v>0</v>
      </c>
      <c r="C40" s="29"/>
      <c r="D40" s="29"/>
      <c r="E40" s="29"/>
      <c r="F40" s="29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6" t="s">
        <v>103</v>
      </c>
    </row>
    <row r="41" spans="1:34" s="36" customFormat="1">
      <c r="A41" s="12" t="s">
        <v>16</v>
      </c>
      <c r="B41" s="29"/>
      <c r="C41" s="29"/>
      <c r="D41" s="29"/>
      <c r="E41" s="29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6" t="s">
        <v>104</v>
      </c>
    </row>
    <row r="42" spans="1:34" s="36" customFormat="1">
      <c r="A42" s="12" t="s">
        <v>17</v>
      </c>
      <c r="B42" s="29">
        <f>B38/B34</f>
        <v>0</v>
      </c>
      <c r="C42" s="29"/>
      <c r="D42" s="29"/>
      <c r="E42" s="29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6" t="s">
        <v>105</v>
      </c>
    </row>
    <row r="43" spans="1:34" s="36" customFormat="1">
      <c r="A43" s="12" t="s">
        <v>18</v>
      </c>
      <c r="B43" s="29"/>
      <c r="C43" s="29"/>
      <c r="D43" s="29"/>
      <c r="E43" s="29"/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2" t="s">
        <v>106</v>
      </c>
      <c r="AH43" s="2"/>
    </row>
    <row r="44" spans="1:34" s="36" customFormat="1">
      <c r="A44" s="12" t="s">
        <v>19</v>
      </c>
      <c r="B44" s="29"/>
      <c r="C44" s="31">
        <f>SUM(C30*C45)</f>
        <v>0</v>
      </c>
      <c r="D44" s="31">
        <f t="shared" ref="D44:F44" si="17">SUM(D30*D45)</f>
        <v>0</v>
      </c>
      <c r="E44" s="31">
        <f t="shared" si="17"/>
        <v>0</v>
      </c>
      <c r="F44" s="31">
        <f t="shared" si="17"/>
        <v>0</v>
      </c>
      <c r="G44" s="31"/>
      <c r="H44" s="31">
        <f t="shared" ref="H44:S44" si="18">SUM(H30*H45)</f>
        <v>0</v>
      </c>
      <c r="I44" s="31">
        <f t="shared" si="18"/>
        <v>0</v>
      </c>
      <c r="J44" s="31">
        <f t="shared" si="18"/>
        <v>0</v>
      </c>
      <c r="K44" s="31">
        <f t="shared" si="18"/>
        <v>0</v>
      </c>
      <c r="L44" s="31">
        <f t="shared" si="18"/>
        <v>0</v>
      </c>
      <c r="M44" s="31">
        <f t="shared" si="18"/>
        <v>0</v>
      </c>
      <c r="N44" s="31">
        <f t="shared" si="18"/>
        <v>0</v>
      </c>
      <c r="O44" s="31">
        <f t="shared" si="18"/>
        <v>0</v>
      </c>
      <c r="P44" s="31">
        <f t="shared" si="18"/>
        <v>0</v>
      </c>
      <c r="Q44" s="31">
        <f t="shared" si="18"/>
        <v>3584125.4075000002</v>
      </c>
      <c r="R44" s="31">
        <f t="shared" si="18"/>
        <v>1875852.8108999999</v>
      </c>
      <c r="S44" s="31">
        <f t="shared" si="18"/>
        <v>4188356.302099999</v>
      </c>
      <c r="T44" s="31"/>
      <c r="U44" s="31">
        <f t="shared" ref="U44:AF44" si="19">SUM(U30*U45)</f>
        <v>2516636.7559999991</v>
      </c>
      <c r="V44" s="31">
        <f t="shared" si="19"/>
        <v>4107221.0448000003</v>
      </c>
      <c r="W44" s="31">
        <f t="shared" si="19"/>
        <v>4786896.1369999992</v>
      </c>
      <c r="X44" s="31">
        <f t="shared" si="19"/>
        <v>5270854.8068999993</v>
      </c>
      <c r="Y44" s="31">
        <f t="shared" si="19"/>
        <v>3899335.0248000002</v>
      </c>
      <c r="Z44" s="31">
        <f t="shared" si="19"/>
        <v>4774629.5453999992</v>
      </c>
      <c r="AA44" s="31">
        <f t="shared" si="19"/>
        <v>5994877.0036000023</v>
      </c>
      <c r="AB44" s="31">
        <f t="shared" si="19"/>
        <v>6055864.292799999</v>
      </c>
      <c r="AC44" s="31">
        <f t="shared" si="19"/>
        <v>-1597400.9971999999</v>
      </c>
      <c r="AD44" s="31">
        <f t="shared" si="19"/>
        <v>0</v>
      </c>
      <c r="AE44" s="31">
        <f t="shared" si="19"/>
        <v>0</v>
      </c>
      <c r="AF44" s="31">
        <f t="shared" si="19"/>
        <v>0</v>
      </c>
    </row>
    <row r="45" spans="1:34" s="36" customFormat="1">
      <c r="A45" s="12" t="s">
        <v>20</v>
      </c>
      <c r="B45" s="29"/>
      <c r="C45" s="33">
        <f>SUM(C31-C36-C37)</f>
        <v>0</v>
      </c>
      <c r="D45" s="33">
        <f t="shared" ref="D45:F45" si="20">SUM(D31-D36-D37)</f>
        <v>0</v>
      </c>
      <c r="E45" s="33">
        <f t="shared" si="20"/>
        <v>0</v>
      </c>
      <c r="F45" s="33">
        <f t="shared" si="20"/>
        <v>0</v>
      </c>
      <c r="G45" s="33"/>
      <c r="H45" s="33">
        <f t="shared" ref="H45:S45" si="21">SUM(H31-H36-H37)</f>
        <v>0</v>
      </c>
      <c r="I45" s="33">
        <f t="shared" si="21"/>
        <v>0</v>
      </c>
      <c r="J45" s="33">
        <f t="shared" si="21"/>
        <v>0</v>
      </c>
      <c r="K45" s="33">
        <f t="shared" si="21"/>
        <v>0</v>
      </c>
      <c r="L45" s="33">
        <f t="shared" si="21"/>
        <v>0</v>
      </c>
      <c r="M45" s="33">
        <f t="shared" si="21"/>
        <v>0</v>
      </c>
      <c r="N45" s="33">
        <f t="shared" si="21"/>
        <v>0</v>
      </c>
      <c r="O45" s="33">
        <f t="shared" si="21"/>
        <v>0</v>
      </c>
      <c r="P45" s="33">
        <f t="shared" si="21"/>
        <v>0</v>
      </c>
      <c r="Q45" s="33">
        <f t="shared" si="21"/>
        <v>24912.25</v>
      </c>
      <c r="R45" s="33">
        <f t="shared" si="21"/>
        <v>12953.89</v>
      </c>
      <c r="S45" s="33">
        <f t="shared" si="21"/>
        <v>28036.389999999996</v>
      </c>
      <c r="T45" s="33"/>
      <c r="U45" s="33">
        <f t="shared" ref="U45:AF45" si="22">SUM(U31-U36-U37)</f>
        <v>17129.299999999996</v>
      </c>
      <c r="V45" s="33">
        <f t="shared" si="22"/>
        <v>27587.460000000003</v>
      </c>
      <c r="W45" s="33">
        <f t="shared" si="22"/>
        <v>31063.569999999996</v>
      </c>
      <c r="X45" s="33">
        <f t="shared" si="22"/>
        <v>33651.629999999997</v>
      </c>
      <c r="Y45" s="33">
        <f t="shared" si="22"/>
        <v>24906.33</v>
      </c>
      <c r="Z45" s="33">
        <f t="shared" si="22"/>
        <v>31072.69</v>
      </c>
      <c r="AA45" s="33">
        <f t="shared" si="22"/>
        <v>38475.560000000012</v>
      </c>
      <c r="AB45" s="33">
        <f t="shared" si="22"/>
        <v>37877.56</v>
      </c>
      <c r="AC45" s="33">
        <f t="shared" si="22"/>
        <v>-9959.48</v>
      </c>
      <c r="AD45" s="33">
        <f t="shared" si="22"/>
        <v>-9959.48</v>
      </c>
      <c r="AE45" s="33">
        <f t="shared" si="22"/>
        <v>-9959.48</v>
      </c>
      <c r="AF45" s="33">
        <f t="shared" si="22"/>
        <v>0</v>
      </c>
      <c r="AG45" s="36">
        <v>250</v>
      </c>
    </row>
    <row r="46" spans="1:34" s="36" customFormat="1">
      <c r="A46" s="12" t="s">
        <v>21</v>
      </c>
      <c r="B46" s="29"/>
      <c r="C46" s="29"/>
      <c r="D46" s="29"/>
      <c r="E46" s="29"/>
      <c r="F46" s="29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6" t="s">
        <v>107</v>
      </c>
    </row>
    <row r="47" spans="1:34" s="36" customFormat="1">
      <c r="A47" s="12" t="s">
        <v>22</v>
      </c>
      <c r="B47" s="24"/>
      <c r="C47" s="24"/>
      <c r="D47" s="24"/>
      <c r="E47" s="24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36" t="s">
        <v>108</v>
      </c>
    </row>
    <row r="48" spans="1:34" s="36" customFormat="1">
      <c r="A48" s="35"/>
      <c r="B48" s="9"/>
      <c r="C48" s="9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AG48" s="36" t="s">
        <v>103</v>
      </c>
    </row>
    <row r="49" spans="1:36" s="36" customFormat="1">
      <c r="A49" s="35"/>
      <c r="B49" s="9"/>
      <c r="C49" s="9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AG49" s="36" t="s">
        <v>105</v>
      </c>
    </row>
    <row r="50" spans="1:36" s="36" customFormat="1">
      <c r="A50" s="35"/>
      <c r="B50" s="35"/>
      <c r="C50" s="35"/>
      <c r="D50" s="35"/>
      <c r="E50" s="35"/>
      <c r="F50" s="35"/>
      <c r="AG50" s="36" t="s">
        <v>109</v>
      </c>
    </row>
    <row r="51" spans="1:36" s="36" customFormat="1">
      <c r="A51" s="35"/>
      <c r="B51" s="7"/>
      <c r="C51" s="7"/>
      <c r="D51" s="7"/>
      <c r="E51" s="7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6" s="36" customFormat="1">
      <c r="A52" s="35"/>
      <c r="B52" s="7"/>
      <c r="C52" s="7"/>
      <c r="D52" s="7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AG52" s="36" t="s">
        <v>110</v>
      </c>
    </row>
    <row r="53" spans="1:36" s="36" customFormat="1">
      <c r="A53" s="35"/>
      <c r="B53" s="7"/>
      <c r="C53" s="7"/>
      <c r="D53" s="7"/>
      <c r="E53" s="7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AG53" s="36" t="s">
        <v>111</v>
      </c>
    </row>
    <row r="54" spans="1:36" s="36" customFormat="1">
      <c r="A54" s="35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57">
        <v>119513.83</v>
      </c>
      <c r="T54" s="66"/>
    </row>
    <row r="55" spans="1:36" s="36" customFormat="1">
      <c r="A55" s="35"/>
      <c r="B55" s="7"/>
      <c r="C55" s="7"/>
      <c r="D55" s="7"/>
      <c r="E55" s="7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57">
        <v>9959.5499999999993</v>
      </c>
      <c r="T55" s="66"/>
    </row>
    <row r="56" spans="1:36" s="36" customFormat="1">
      <c r="A56" s="35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7">
        <v>9959.48</v>
      </c>
      <c r="T56" s="66"/>
    </row>
    <row r="57" spans="1:36" s="36" customFormat="1">
      <c r="A57" s="35"/>
      <c r="B57" s="9"/>
      <c r="C57" s="9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7">
        <v>9959.48</v>
      </c>
      <c r="T57" s="66"/>
    </row>
    <row r="58" spans="1:36" s="36" customFormat="1">
      <c r="A58" s="35"/>
      <c r="B58" s="35"/>
      <c r="C58" s="35"/>
      <c r="D58" s="35"/>
      <c r="E58" s="35"/>
      <c r="F58" s="35"/>
      <c r="S58" s="57">
        <v>9959.48</v>
      </c>
      <c r="T58" s="66"/>
    </row>
    <row r="59" spans="1:36" s="36" customFormat="1">
      <c r="A59" s="35"/>
      <c r="B59" s="7"/>
      <c r="C59" s="7"/>
      <c r="D59" s="7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57">
        <v>9959.48</v>
      </c>
      <c r="T59" s="57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s="36" customFormat="1">
      <c r="A60" s="35"/>
      <c r="B60" s="7"/>
      <c r="C60" s="7"/>
      <c r="D60" s="7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57">
        <v>9959.48</v>
      </c>
      <c r="T60" s="66"/>
    </row>
    <row r="61" spans="1:36" s="36" customFormat="1">
      <c r="A61" s="35"/>
      <c r="B61" s="7"/>
      <c r="C61" s="7"/>
      <c r="D61" s="7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57">
        <v>9959.48</v>
      </c>
      <c r="T61" s="66"/>
    </row>
    <row r="62" spans="1:36" s="36" customFormat="1">
      <c r="A62" s="35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7">
        <v>9959.48</v>
      </c>
      <c r="T62" s="66"/>
    </row>
    <row r="63" spans="1:36" s="36" customFormat="1">
      <c r="A63" s="35"/>
      <c r="B63" s="7"/>
      <c r="C63" s="7"/>
      <c r="D63" s="7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57">
        <v>9959.48</v>
      </c>
      <c r="T63" s="66"/>
    </row>
    <row r="64" spans="1:36" s="36" customFormat="1">
      <c r="A64" s="35"/>
      <c r="B64" s="9"/>
      <c r="C64" s="9"/>
      <c r="D64" s="9"/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7">
        <v>9959.48</v>
      </c>
      <c r="T64" s="66"/>
    </row>
    <row r="65" spans="1:38" s="36" customFormat="1">
      <c r="A65" s="35"/>
      <c r="B65" s="9"/>
      <c r="C65" s="9"/>
      <c r="D65" s="9"/>
      <c r="E65" s="9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7">
        <v>9959.48</v>
      </c>
      <c r="T65" s="66"/>
    </row>
    <row r="66" spans="1:38" s="36" customFormat="1">
      <c r="A66" s="35"/>
      <c r="B66" s="35"/>
      <c r="C66" s="35"/>
      <c r="D66" s="35"/>
      <c r="E66" s="35"/>
      <c r="F66" s="35"/>
      <c r="S66" s="57">
        <v>9959.48</v>
      </c>
      <c r="T66" s="66"/>
    </row>
    <row r="67" spans="1:38" s="36" customFormat="1">
      <c r="A67" s="35"/>
      <c r="B67" s="7"/>
      <c r="C67" s="7"/>
      <c r="D67" s="7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57">
        <f>SUM(S55:S66)</f>
        <v>119513.82999999997</v>
      </c>
      <c r="T67" s="57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8" s="36" customFormat="1">
      <c r="A68" s="35"/>
      <c r="B68" s="7"/>
      <c r="C68" s="7"/>
      <c r="D68" s="7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38" s="36" customFormat="1">
      <c r="A69" s="35"/>
      <c r="B69" s="7"/>
      <c r="C69" s="7"/>
      <c r="D69" s="7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38" s="36" customFormat="1">
      <c r="A70" s="35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38" s="36" customFormat="1">
      <c r="A71" s="35"/>
      <c r="B71" s="7"/>
      <c r="C71" s="7"/>
      <c r="D71" s="7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38" s="36" customFormat="1">
      <c r="A72" s="35"/>
      <c r="B72" s="9"/>
      <c r="C72" s="9"/>
      <c r="D72" s="9"/>
      <c r="E72" s="9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38" s="36" customFormat="1">
      <c r="A73" s="35"/>
      <c r="B73" s="9"/>
      <c r="C73" s="9"/>
      <c r="D73" s="9"/>
      <c r="E73" s="9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38" s="36" customFormat="1">
      <c r="A74" s="35"/>
      <c r="B74" s="35"/>
      <c r="C74" s="35"/>
      <c r="D74" s="35"/>
      <c r="E74" s="35"/>
      <c r="F74" s="35"/>
    </row>
    <row r="75" spans="1:38" s="36" customFormat="1">
      <c r="A75" s="35"/>
      <c r="B75" s="7"/>
      <c r="C75" s="7"/>
      <c r="D75" s="7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s="36" customFormat="1">
      <c r="A76" s="35"/>
      <c r="B76" s="7"/>
      <c r="C76" s="7"/>
      <c r="D76" s="7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38" s="36" customFormat="1">
      <c r="A77" s="35"/>
      <c r="B77" s="7"/>
      <c r="C77" s="7"/>
      <c r="D77" s="7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38" s="36" customFormat="1">
      <c r="A78" s="35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38" s="36" customFormat="1">
      <c r="A79" s="35"/>
      <c r="B79" s="7"/>
      <c r="C79" s="7"/>
      <c r="D79" s="7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38" s="36" customFormat="1">
      <c r="A80" s="35"/>
      <c r="B80" s="9"/>
      <c r="C80" s="9"/>
      <c r="D80" s="9"/>
      <c r="E80" s="9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39" s="36" customFormat="1">
      <c r="A81" s="35"/>
      <c r="B81" s="9"/>
      <c r="C81" s="9"/>
      <c r="D81" s="9"/>
      <c r="E81" s="9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39" s="36" customFormat="1">
      <c r="A82" s="35"/>
    </row>
    <row r="83" spans="1:39" s="36" customFormat="1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s="36" customFormat="1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39" s="36" customFormat="1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39" s="36" customFormat="1">
      <c r="A86" s="3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39" s="36" customFormat="1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39" s="36" customFormat="1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39" s="36" customFormat="1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39" s="36" customFormat="1">
      <c r="A90" s="35"/>
    </row>
    <row r="91" spans="1:39" s="36" customFormat="1">
      <c r="A91" s="35"/>
    </row>
    <row r="92" spans="1:39" s="36" customFormat="1">
      <c r="A92" s="35"/>
    </row>
    <row r="93" spans="1:39" s="36" customFormat="1">
      <c r="A93" s="35"/>
    </row>
    <row r="94" spans="1:39" s="36" customFormat="1">
      <c r="A94" s="35"/>
    </row>
    <row r="95" spans="1:39" s="36" customFormat="1">
      <c r="A95" s="35"/>
    </row>
    <row r="96" spans="1:39" s="36" customFormat="1">
      <c r="A96" s="35"/>
    </row>
    <row r="97" spans="1:1" s="36" customFormat="1">
      <c r="A97" s="35"/>
    </row>
    <row r="98" spans="1:1" s="36" customFormat="1">
      <c r="A98" s="35"/>
    </row>
    <row r="99" spans="1:1" s="36" customFormat="1">
      <c r="A99" s="35"/>
    </row>
    <row r="100" spans="1:1" s="36" customFormat="1">
      <c r="A100" s="35"/>
    </row>
    <row r="101" spans="1:1" s="36" customFormat="1">
      <c r="A101" s="35"/>
    </row>
    <row r="102" spans="1:1" s="36" customFormat="1">
      <c r="A102" s="35"/>
    </row>
    <row r="103" spans="1:1" s="36" customFormat="1">
      <c r="A103" s="35"/>
    </row>
    <row r="104" spans="1:1" s="36" customFormat="1">
      <c r="A104" s="35"/>
    </row>
    <row r="105" spans="1:1" s="36" customFormat="1">
      <c r="A105" s="35"/>
    </row>
    <row r="106" spans="1:1" s="36" customFormat="1">
      <c r="A106" s="35"/>
    </row>
  </sheetData>
  <phoneticPr fontId="2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A848-08B8-4C10-A1EA-ED8369D2581C}">
  <dimension ref="A1"/>
  <sheetViews>
    <sheetView workbookViewId="0"/>
  </sheetViews>
  <sheetFormatPr defaultRowHeight="18"/>
  <sheetData/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6617-765B-48AF-A9D0-C6777A35B7FB}">
  <dimension ref="A1:D17"/>
  <sheetViews>
    <sheetView workbookViewId="0">
      <selection activeCell="B2" sqref="B2"/>
    </sheetView>
  </sheetViews>
  <sheetFormatPr defaultRowHeight="18"/>
  <cols>
    <col min="1" max="1" width="38.25" bestFit="1" customWidth="1"/>
    <col min="2" max="3" width="10.375" style="64" bestFit="1" customWidth="1"/>
    <col min="4" max="4" width="11.25" style="64" bestFit="1" customWidth="1"/>
  </cols>
  <sheetData>
    <row r="1" spans="1:4">
      <c r="A1" t="s">
        <v>112</v>
      </c>
      <c r="B1" s="64" t="s">
        <v>113</v>
      </c>
      <c r="C1" s="64" t="s">
        <v>114</v>
      </c>
      <c r="D1" s="64" t="s">
        <v>115</v>
      </c>
    </row>
    <row r="2" spans="1:4">
      <c r="A2" t="s">
        <v>116</v>
      </c>
      <c r="B2" s="64">
        <v>66791.360000000001</v>
      </c>
      <c r="C2" s="64">
        <v>80238.080000000002</v>
      </c>
      <c r="D2" s="64">
        <f t="shared" ref="D2:D17" si="0">B2-C2</f>
        <v>-13446.720000000001</v>
      </c>
    </row>
    <row r="3" spans="1:4">
      <c r="A3" t="s">
        <v>59</v>
      </c>
      <c r="B3" s="64">
        <v>55352.05</v>
      </c>
      <c r="C3" s="64">
        <v>65017.16</v>
      </c>
      <c r="D3" s="64">
        <f t="shared" si="0"/>
        <v>-9665.11</v>
      </c>
    </row>
    <row r="4" spans="1:4">
      <c r="A4" t="s">
        <v>117</v>
      </c>
      <c r="B4" s="64">
        <v>0</v>
      </c>
      <c r="C4" s="64">
        <v>0</v>
      </c>
      <c r="D4" s="64">
        <f t="shared" si="0"/>
        <v>0</v>
      </c>
    </row>
    <row r="5" spans="1:4">
      <c r="A5" t="s">
        <v>118</v>
      </c>
      <c r="B5" s="64">
        <v>13050</v>
      </c>
      <c r="C5" s="64">
        <v>53561</v>
      </c>
      <c r="D5" s="64">
        <f t="shared" si="0"/>
        <v>-40511</v>
      </c>
    </row>
    <row r="6" spans="1:4">
      <c r="A6" t="s">
        <v>32</v>
      </c>
      <c r="B6" s="64">
        <v>65764.100000000006</v>
      </c>
      <c r="C6" s="64">
        <v>102472</v>
      </c>
      <c r="D6" s="64">
        <f t="shared" si="0"/>
        <v>-36707.899999999994</v>
      </c>
    </row>
    <row r="7" spans="1:4">
      <c r="A7" t="s">
        <v>33</v>
      </c>
      <c r="B7" s="64">
        <v>56500</v>
      </c>
      <c r="C7" s="64">
        <v>73334.28</v>
      </c>
      <c r="D7" s="64">
        <f t="shared" si="0"/>
        <v>-16834.28</v>
      </c>
    </row>
    <row r="8" spans="1:4">
      <c r="A8" t="s">
        <v>34</v>
      </c>
      <c r="B8" s="64">
        <v>63970.16</v>
      </c>
      <c r="C8" s="64">
        <v>74343.3</v>
      </c>
      <c r="D8" s="64">
        <f t="shared" si="0"/>
        <v>-10373.14</v>
      </c>
    </row>
    <row r="9" spans="1:4">
      <c r="A9" t="s">
        <v>35</v>
      </c>
      <c r="B9" s="64">
        <v>54807.88</v>
      </c>
      <c r="C9" s="64">
        <v>62169.35</v>
      </c>
      <c r="D9" s="64">
        <f t="shared" si="0"/>
        <v>-7361.4700000000012</v>
      </c>
    </row>
    <row r="10" spans="1:4">
      <c r="A10" t="s">
        <v>36</v>
      </c>
      <c r="B10" s="64">
        <v>40757.18</v>
      </c>
      <c r="C10" s="64">
        <v>83518.070000000007</v>
      </c>
      <c r="D10" s="64">
        <f t="shared" si="0"/>
        <v>-42760.890000000007</v>
      </c>
    </row>
    <row r="11" spans="1:4">
      <c r="A11" t="s">
        <v>58</v>
      </c>
      <c r="B11" s="64">
        <v>29064.71</v>
      </c>
      <c r="C11" s="64">
        <v>62387.45</v>
      </c>
      <c r="D11" s="64">
        <f t="shared" si="0"/>
        <v>-33322.74</v>
      </c>
    </row>
    <row r="12" spans="1:4">
      <c r="A12" t="s">
        <v>90</v>
      </c>
      <c r="B12" s="64">
        <v>21000</v>
      </c>
      <c r="C12" s="64">
        <v>76434.320000000007</v>
      </c>
      <c r="D12" s="64">
        <f t="shared" si="0"/>
        <v>-55434.320000000007</v>
      </c>
    </row>
    <row r="13" spans="1:4">
      <c r="A13" t="s">
        <v>91</v>
      </c>
      <c r="B13" s="64">
        <v>0</v>
      </c>
      <c r="C13" s="64">
        <v>25568.48</v>
      </c>
      <c r="D13" s="64">
        <f t="shared" si="0"/>
        <v>-25568.48</v>
      </c>
    </row>
    <row r="14" spans="1:4">
      <c r="A14" t="s">
        <v>94</v>
      </c>
      <c r="B14" s="64">
        <v>0</v>
      </c>
      <c r="C14" s="64">
        <v>0</v>
      </c>
      <c r="D14" s="64">
        <f t="shared" si="0"/>
        <v>0</v>
      </c>
    </row>
    <row r="15" spans="1:4">
      <c r="A15" t="s">
        <v>95</v>
      </c>
      <c r="B15" s="64">
        <v>0</v>
      </c>
      <c r="C15" s="64">
        <v>0</v>
      </c>
      <c r="D15" s="64">
        <f t="shared" si="0"/>
        <v>0</v>
      </c>
    </row>
    <row r="16" spans="1:4">
      <c r="A16" t="s">
        <v>96</v>
      </c>
      <c r="B16" s="64">
        <v>184978.17</v>
      </c>
      <c r="C16" s="64">
        <v>422170.22</v>
      </c>
      <c r="D16" s="64">
        <f t="shared" si="0"/>
        <v>-237192.04999999996</v>
      </c>
    </row>
    <row r="17" spans="1:4">
      <c r="A17" t="s">
        <v>97</v>
      </c>
      <c r="B17" s="64">
        <v>133432.69</v>
      </c>
      <c r="C17" s="64">
        <v>441966</v>
      </c>
      <c r="D17" s="64">
        <f t="shared" si="0"/>
        <v>-308533.31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YUICHI KATAYORI</dc:creator>
  <cp:keywords/>
  <dc:description/>
  <cp:lastModifiedBy>Nehru Yuvashree</cp:lastModifiedBy>
  <cp:revision/>
  <dcterms:created xsi:type="dcterms:W3CDTF">2023-01-27T01:55:17Z</dcterms:created>
  <dcterms:modified xsi:type="dcterms:W3CDTF">2026-05-12T01:00:24Z</dcterms:modified>
  <cp:category/>
  <cp:contentStatus/>
</cp:coreProperties>
</file>