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waveo365-my.sharepoint.com/personal/j_kuramata_twave_co_jp/Documents/Microsoft Teams チャット ファイル/"/>
    </mc:Choice>
  </mc:AlternateContent>
  <xr:revisionPtr revIDLastSave="2" documentId="13_ncr:1_{E58101D3-67D6-42CF-8B18-D9E1A698B4D1}" xr6:coauthVersionLast="47" xr6:coauthVersionMax="47" xr10:uidLastSave="{930F85B7-083D-4A83-B7C4-3704A980D94D}"/>
  <bookViews>
    <workbookView xWindow="-108" yWindow="-108" windowWidth="23256" windowHeight="12456" tabRatio="861" firstSheet="5" activeTab="11" xr2:uid="{C52C354F-2DB3-4541-B56E-105639D80603}"/>
  </bookViews>
  <sheets>
    <sheet name="国内総計" sheetId="20" r:id="rId1"/>
    <sheet name="SEA A棟1508" sheetId="19" r:id="rId2"/>
    <sheet name="SEA E棟1302" sheetId="18" r:id="rId3"/>
    <sheet name="SUN A棟1106" sheetId="17" r:id="rId4"/>
    <sheet name="オリゾン1110" sheetId="16" r:id="rId5"/>
    <sheet name="亀戸Xゲート1213" sheetId="15" r:id="rId6"/>
    <sheet name="PC文京小石川807" sheetId="14" r:id="rId7"/>
    <sheet name="PC麻布十番404" sheetId="13" r:id="rId8"/>
    <sheet name="Gスイート南麻布1404" sheetId="12" r:id="rId9"/>
    <sheet name="PH南麻布501" sheetId="25" r:id="rId10"/>
    <sheet name="パークリュクス白金" sheetId="31" r:id="rId11"/>
    <sheet name="広尾ガーデンフォレストA棟509" sheetId="27" r:id="rId12"/>
    <sheet name="プラウド白金台601" sheetId="30" r:id="rId13"/>
    <sheet name="海老名Ⅱ723" sheetId="11" r:id="rId14"/>
    <sheet name="海老名Ⅱ817" sheetId="10" r:id="rId15"/>
    <sheet name="海老名Ⅱ1123" sheetId="9" r:id="rId16"/>
    <sheet name="海老名Ⅱ1217" sheetId="8" r:id="rId17"/>
    <sheet name="海老名Ⅱ1331" sheetId="22" r:id="rId18"/>
    <sheet name="海老名Ⅱ1408" sheetId="29" r:id="rId19"/>
    <sheet name="海老名Ⅱ1431" sheetId="21" r:id="rId20"/>
    <sheet name="海老名Ⅱ月支出詳細" sheetId="23" r:id="rId21"/>
    <sheet name="亀戸Xゲート719(社宅)" sheetId="24" r:id="rId22"/>
    <sheet name="亀戸Xブライト2318(社宅)" sheetId="26" r:id="rId23"/>
    <sheet name="海老名Ⅱ1223(社宅)" sheetId="7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3" l="1"/>
  <c r="F18" i="23"/>
  <c r="E18" i="23"/>
  <c r="C18" i="23"/>
  <c r="AJ13" i="31" l="1"/>
  <c r="AI13" i="31"/>
  <c r="AH13" i="31"/>
  <c r="AG13" i="31"/>
  <c r="AF13" i="31"/>
  <c r="AE13" i="31"/>
  <c r="AD13" i="31"/>
  <c r="AC13" i="31"/>
  <c r="AB13" i="31"/>
  <c r="AA13" i="31"/>
  <c r="Z13" i="31"/>
  <c r="Y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J13" i="31"/>
  <c r="I13" i="31"/>
  <c r="H13" i="31"/>
  <c r="G13" i="31"/>
  <c r="F13" i="31"/>
  <c r="E13" i="31"/>
  <c r="D13" i="31"/>
  <c r="Y6" i="31"/>
  <c r="Z6" i="31" s="1"/>
  <c r="AA6" i="31" s="1"/>
  <c r="AB6" i="31" s="1"/>
  <c r="AD6" i="31" s="1"/>
  <c r="AE6" i="31" s="1"/>
  <c r="AF6" i="31" s="1"/>
  <c r="AG6" i="31" s="1"/>
  <c r="AH6" i="31" s="1"/>
  <c r="AI6" i="31" s="1"/>
  <c r="AJ6" i="31" s="1"/>
  <c r="AC4" i="20"/>
  <c r="Y6" i="30"/>
  <c r="AJ13" i="30"/>
  <c r="AI13" i="30"/>
  <c r="AH13" i="30"/>
  <c r="AG13" i="30"/>
  <c r="AF13" i="30"/>
  <c r="AE13" i="30"/>
  <c r="AD13" i="30"/>
  <c r="AC13" i="30"/>
  <c r="AB13" i="30"/>
  <c r="AA13" i="30"/>
  <c r="Z13" i="30"/>
  <c r="Y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J13" i="30"/>
  <c r="I13" i="30"/>
  <c r="H13" i="30"/>
  <c r="G13" i="30"/>
  <c r="F13" i="30"/>
  <c r="E13" i="30"/>
  <c r="D13" i="30"/>
  <c r="Z6" i="30"/>
  <c r="AA6" i="30" s="1"/>
  <c r="AB6" i="30" s="1"/>
  <c r="AC6" i="30" s="1"/>
  <c r="AD6" i="30" s="1"/>
  <c r="AE6" i="30" s="1"/>
  <c r="AF6" i="30" s="1"/>
  <c r="AG6" i="30" s="1"/>
  <c r="AH6" i="30" s="1"/>
  <c r="AI6" i="30" s="1"/>
  <c r="AJ6" i="30" s="1"/>
  <c r="Y6" i="29"/>
  <c r="Y6" i="27" l="1"/>
  <c r="Z6" i="27" s="1"/>
  <c r="AA6" i="27" s="1"/>
  <c r="AB6" i="27" s="1"/>
  <c r="AC6" i="27" s="1"/>
  <c r="AD6" i="27" s="1"/>
  <c r="AE6" i="27" s="1"/>
  <c r="AF6" i="27" s="1"/>
  <c r="AG6" i="27" s="1"/>
  <c r="AH6" i="27" s="1"/>
  <c r="AI6" i="27" s="1"/>
  <c r="AJ6" i="27" s="1"/>
  <c r="AJ13" i="29"/>
  <c r="AI13" i="29"/>
  <c r="AH13" i="29"/>
  <c r="AG13" i="29"/>
  <c r="AF13" i="29"/>
  <c r="AE13" i="29"/>
  <c r="AD13" i="29"/>
  <c r="AC13" i="29"/>
  <c r="AB13" i="29"/>
  <c r="AA13" i="29"/>
  <c r="Z13" i="29"/>
  <c r="Y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J13" i="29"/>
  <c r="I13" i="29"/>
  <c r="H13" i="29"/>
  <c r="G13" i="29"/>
  <c r="F13" i="29"/>
  <c r="E13" i="29"/>
  <c r="D13" i="29"/>
  <c r="L6" i="29"/>
  <c r="M6" i="29" s="1"/>
  <c r="N6" i="29" s="1"/>
  <c r="O6" i="29" s="1"/>
  <c r="P6" i="29" s="1"/>
  <c r="Q6" i="29" s="1"/>
  <c r="R6" i="29" s="1"/>
  <c r="S6" i="29" s="1"/>
  <c r="T6" i="29" s="1"/>
  <c r="U6" i="29" s="1"/>
  <c r="V6" i="29" s="1"/>
  <c r="W6" i="29" s="1"/>
  <c r="Z6" i="29" s="1"/>
  <c r="AA6" i="29" s="1"/>
  <c r="AB6" i="29" s="1"/>
  <c r="AC6" i="29" s="1"/>
  <c r="AD6" i="29" s="1"/>
  <c r="AE6" i="29" s="1"/>
  <c r="AF6" i="29" s="1"/>
  <c r="AG6" i="29" s="1"/>
  <c r="AH6" i="29" s="1"/>
  <c r="AI6" i="29" s="1"/>
  <c r="AJ6" i="29" s="1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AJ13" i="27"/>
  <c r="AI13" i="27"/>
  <c r="AH13" i="27"/>
  <c r="AG13" i="27"/>
  <c r="AF13" i="27"/>
  <c r="AE13" i="27"/>
  <c r="AD13" i="27"/>
  <c r="AC13" i="27"/>
  <c r="AB13" i="27"/>
  <c r="AA13" i="27"/>
  <c r="Z13" i="27"/>
  <c r="Y13" i="27"/>
  <c r="AJ13" i="7"/>
  <c r="AI13" i="7"/>
  <c r="AH13" i="7"/>
  <c r="AG13" i="7"/>
  <c r="AF13" i="7"/>
  <c r="AE13" i="7"/>
  <c r="AD13" i="7"/>
  <c r="AC13" i="7"/>
  <c r="AB13" i="7"/>
  <c r="AA13" i="7"/>
  <c r="Z13" i="7"/>
  <c r="Y13" i="7"/>
  <c r="AJ13" i="26"/>
  <c r="AI13" i="26"/>
  <c r="AH13" i="26"/>
  <c r="AG13" i="26"/>
  <c r="AF13" i="26"/>
  <c r="AE13" i="26"/>
  <c r="AD13" i="26"/>
  <c r="AC13" i="26"/>
  <c r="AB13" i="26"/>
  <c r="AA13" i="26"/>
  <c r="Z13" i="26"/>
  <c r="Y13" i="26"/>
  <c r="AJ13" i="24"/>
  <c r="AI13" i="24"/>
  <c r="AH13" i="24"/>
  <c r="AG13" i="24"/>
  <c r="AF13" i="24"/>
  <c r="AE13" i="24"/>
  <c r="AD13" i="24"/>
  <c r="AC13" i="24"/>
  <c r="AB13" i="24"/>
  <c r="AA13" i="24"/>
  <c r="Z13" i="24"/>
  <c r="Y13" i="24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AJ13" i="8"/>
  <c r="AI13" i="8"/>
  <c r="AH13" i="8"/>
  <c r="AG13" i="8"/>
  <c r="AF13" i="8"/>
  <c r="AE13" i="8"/>
  <c r="AD13" i="8"/>
  <c r="AC13" i="8"/>
  <c r="AB13" i="8"/>
  <c r="AA13" i="8"/>
  <c r="Z13" i="8"/>
  <c r="Y13" i="8"/>
  <c r="AJ13" i="9"/>
  <c r="AI13" i="9"/>
  <c r="AH13" i="9"/>
  <c r="AG13" i="9"/>
  <c r="AF13" i="9"/>
  <c r="AE13" i="9"/>
  <c r="AD13" i="9"/>
  <c r="AC13" i="9"/>
  <c r="AB13" i="9"/>
  <c r="AA13" i="9"/>
  <c r="Z13" i="9"/>
  <c r="Y13" i="9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W13" i="27"/>
  <c r="V13" i="27"/>
  <c r="U13" i="27"/>
  <c r="T13" i="27"/>
  <c r="S13" i="27"/>
  <c r="R13" i="27"/>
  <c r="Q13" i="27"/>
  <c r="P13" i="27"/>
  <c r="O13" i="27"/>
  <c r="N13" i="27"/>
  <c r="M13" i="27"/>
  <c r="L13" i="27"/>
  <c r="J13" i="27"/>
  <c r="I13" i="27"/>
  <c r="H13" i="27"/>
  <c r="G13" i="27"/>
  <c r="F13" i="27"/>
  <c r="E13" i="27"/>
  <c r="D13" i="27"/>
  <c r="W13" i="26"/>
  <c r="V13" i="26"/>
  <c r="U13" i="26"/>
  <c r="T13" i="26"/>
  <c r="S13" i="26"/>
  <c r="R13" i="26"/>
  <c r="Q13" i="26"/>
  <c r="P13" i="26"/>
  <c r="O13" i="26"/>
  <c r="N13" i="26"/>
  <c r="M13" i="26"/>
  <c r="L13" i="26"/>
  <c r="J13" i="26"/>
  <c r="I13" i="26"/>
  <c r="H13" i="26"/>
  <c r="G13" i="26"/>
  <c r="F13" i="26"/>
  <c r="E13" i="26"/>
  <c r="D13" i="26"/>
  <c r="P6" i="26"/>
  <c r="Q6" i="26" s="1"/>
  <c r="R6" i="26" s="1"/>
  <c r="S6" i="26" s="1"/>
  <c r="T6" i="26" s="1"/>
  <c r="U6" i="26" s="1"/>
  <c r="V6" i="26" s="1"/>
  <c r="W6" i="26" s="1"/>
  <c r="G13" i="21" l="1"/>
  <c r="P6" i="25"/>
  <c r="P6" i="24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AJ4" i="20"/>
  <c r="AI4" i="20"/>
  <c r="AH4" i="20"/>
  <c r="AG4" i="20"/>
  <c r="AF4" i="20"/>
  <c r="AE4" i="20"/>
  <c r="AD4" i="20"/>
  <c r="AB4" i="20"/>
  <c r="AA4" i="20"/>
  <c r="Z4" i="20"/>
  <c r="Y4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G20" i="23"/>
  <c r="E19" i="23"/>
  <c r="C19" i="23"/>
  <c r="F19" i="23"/>
  <c r="C20" i="23" l="1"/>
  <c r="W13" i="25"/>
  <c r="V13" i="25"/>
  <c r="U13" i="25"/>
  <c r="T13" i="25"/>
  <c r="S13" i="25"/>
  <c r="R13" i="25"/>
  <c r="Q13" i="25"/>
  <c r="P13" i="25"/>
  <c r="O13" i="25"/>
  <c r="N13" i="25"/>
  <c r="M13" i="25"/>
  <c r="L13" i="25"/>
  <c r="J13" i="25"/>
  <c r="I13" i="25"/>
  <c r="H13" i="25"/>
  <c r="G13" i="25"/>
  <c r="F13" i="25"/>
  <c r="E13" i="25"/>
  <c r="D13" i="25"/>
  <c r="Q6" i="25"/>
  <c r="R6" i="25" s="1"/>
  <c r="S6" i="25" s="1"/>
  <c r="T6" i="25" s="1"/>
  <c r="U6" i="25" s="1"/>
  <c r="V6" i="25" s="1"/>
  <c r="W6" i="25" s="1"/>
  <c r="Y6" i="25" s="1"/>
  <c r="Z6" i="25" s="1"/>
  <c r="AA6" i="25" s="1"/>
  <c r="AB6" i="25" s="1"/>
  <c r="AC6" i="25" s="1"/>
  <c r="AD6" i="25" s="1"/>
  <c r="AE6" i="25" s="1"/>
  <c r="AF6" i="25" s="1"/>
  <c r="AG6" i="25" s="1"/>
  <c r="AH6" i="25" s="1"/>
  <c r="AI6" i="25" s="1"/>
  <c r="AJ6" i="25" s="1"/>
  <c r="W13" i="24"/>
  <c r="V13" i="24"/>
  <c r="U13" i="24"/>
  <c r="T13" i="24"/>
  <c r="S13" i="24"/>
  <c r="R13" i="24"/>
  <c r="Q13" i="24"/>
  <c r="P13" i="24"/>
  <c r="O13" i="24"/>
  <c r="N13" i="24"/>
  <c r="M13" i="24"/>
  <c r="L13" i="24"/>
  <c r="J13" i="24"/>
  <c r="I13" i="24"/>
  <c r="H13" i="24"/>
  <c r="G13" i="24"/>
  <c r="F13" i="24"/>
  <c r="E13" i="24"/>
  <c r="D13" i="24"/>
  <c r="Q6" i="24"/>
  <c r="R6" i="24" s="1"/>
  <c r="S6" i="24" s="1"/>
  <c r="T6" i="24" s="1"/>
  <c r="U6" i="24" s="1"/>
  <c r="V6" i="24" s="1"/>
  <c r="W6" i="24" s="1"/>
  <c r="Y6" i="24" s="1"/>
  <c r="Z6" i="24" s="1"/>
  <c r="AA6" i="24" s="1"/>
  <c r="AB6" i="24" s="1"/>
  <c r="AC6" i="24" s="1"/>
  <c r="AD6" i="24" s="1"/>
  <c r="AE6" i="24" s="1"/>
  <c r="AF6" i="24" s="1"/>
  <c r="AG6" i="24" s="1"/>
  <c r="AH6" i="24" s="1"/>
  <c r="AI6" i="24" s="1"/>
  <c r="AJ6" i="24" s="1"/>
  <c r="G6" i="22"/>
  <c r="G6" i="21" l="1"/>
  <c r="G6" i="7"/>
  <c r="G6" i="8"/>
  <c r="G6" i="9"/>
  <c r="G6" i="10"/>
  <c r="G6" i="11"/>
  <c r="M6" i="12"/>
  <c r="I6" i="14"/>
  <c r="I6" i="15"/>
  <c r="F6" i="16"/>
  <c r="D6" i="17" l="1"/>
  <c r="D6" i="18" l="1"/>
  <c r="D6" i="19"/>
  <c r="L6" i="13"/>
  <c r="C3" i="20" l="1"/>
  <c r="D3" i="20"/>
  <c r="E3" i="20"/>
  <c r="F3" i="20"/>
  <c r="G3" i="20"/>
  <c r="H3" i="20"/>
  <c r="I3" i="20"/>
  <c r="J3" i="20"/>
  <c r="L3" i="20"/>
  <c r="M3" i="20"/>
  <c r="N3" i="20"/>
  <c r="O3" i="20"/>
  <c r="P3" i="20"/>
  <c r="Q3" i="20"/>
  <c r="R3" i="20"/>
  <c r="S3" i="20"/>
  <c r="T3" i="20"/>
  <c r="U3" i="20"/>
  <c r="V3" i="20"/>
  <c r="W3" i="20"/>
  <c r="C4" i="20"/>
  <c r="D4" i="20"/>
  <c r="E4" i="20"/>
  <c r="F4" i="20"/>
  <c r="G4" i="20"/>
  <c r="H4" i="20"/>
  <c r="I4" i="20"/>
  <c r="J4" i="20"/>
  <c r="L4" i="20"/>
  <c r="M4" i="20"/>
  <c r="N4" i="20"/>
  <c r="O4" i="20"/>
  <c r="P4" i="20"/>
  <c r="Q4" i="20"/>
  <c r="R4" i="20"/>
  <c r="S4" i="20"/>
  <c r="T4" i="20"/>
  <c r="U4" i="20"/>
  <c r="V4" i="20"/>
  <c r="W4" i="20"/>
  <c r="C5" i="20"/>
  <c r="D5" i="20"/>
  <c r="E5" i="20"/>
  <c r="F5" i="20"/>
  <c r="G5" i="20"/>
  <c r="H5" i="20"/>
  <c r="I5" i="20"/>
  <c r="J5" i="20"/>
  <c r="L5" i="20"/>
  <c r="M5" i="20"/>
  <c r="N5" i="20"/>
  <c r="O5" i="20"/>
  <c r="P5" i="20"/>
  <c r="Q5" i="20"/>
  <c r="R5" i="20"/>
  <c r="S5" i="20"/>
  <c r="T5" i="20"/>
  <c r="U5" i="20"/>
  <c r="V5" i="20"/>
  <c r="W5" i="20"/>
  <c r="C6" i="20"/>
  <c r="C7" i="20"/>
  <c r="D7" i="20"/>
  <c r="E7" i="20"/>
  <c r="F7" i="20"/>
  <c r="G7" i="20"/>
  <c r="H7" i="20"/>
  <c r="I7" i="20"/>
  <c r="J7" i="20"/>
  <c r="L7" i="20"/>
  <c r="M7" i="20"/>
  <c r="N7" i="20"/>
  <c r="O7" i="20"/>
  <c r="P7" i="20"/>
  <c r="Q7" i="20"/>
  <c r="R7" i="20"/>
  <c r="S7" i="20"/>
  <c r="T7" i="20"/>
  <c r="U7" i="20"/>
  <c r="V7" i="20"/>
  <c r="W7" i="20"/>
  <c r="C8" i="20"/>
  <c r="D8" i="20"/>
  <c r="E8" i="20"/>
  <c r="F8" i="20"/>
  <c r="G8" i="20"/>
  <c r="H8" i="20"/>
  <c r="I8" i="20"/>
  <c r="J8" i="20"/>
  <c r="L8" i="20"/>
  <c r="M8" i="20"/>
  <c r="N8" i="20"/>
  <c r="O8" i="20"/>
  <c r="P8" i="20"/>
  <c r="Q8" i="20"/>
  <c r="R8" i="20"/>
  <c r="S8" i="20"/>
  <c r="T8" i="20"/>
  <c r="U8" i="20"/>
  <c r="V8" i="20"/>
  <c r="W8" i="20"/>
  <c r="C9" i="20"/>
  <c r="D9" i="20"/>
  <c r="E9" i="20"/>
  <c r="F9" i="20"/>
  <c r="G9" i="20"/>
  <c r="H9" i="20"/>
  <c r="I9" i="20"/>
  <c r="J9" i="20"/>
  <c r="L9" i="20"/>
  <c r="M9" i="20"/>
  <c r="N9" i="20"/>
  <c r="O9" i="20"/>
  <c r="P9" i="20"/>
  <c r="Q9" i="20"/>
  <c r="R9" i="20"/>
  <c r="S9" i="20"/>
  <c r="T9" i="20"/>
  <c r="U9" i="20"/>
  <c r="V9" i="20"/>
  <c r="W9" i="20"/>
  <c r="C10" i="20"/>
  <c r="D10" i="20"/>
  <c r="E10" i="20"/>
  <c r="F10" i="20"/>
  <c r="G10" i="20"/>
  <c r="H10" i="20"/>
  <c r="I10" i="20"/>
  <c r="J10" i="20"/>
  <c r="L10" i="20"/>
  <c r="M10" i="20"/>
  <c r="N10" i="20"/>
  <c r="O10" i="20"/>
  <c r="P10" i="20"/>
  <c r="Q10" i="20"/>
  <c r="R10" i="20"/>
  <c r="S10" i="20"/>
  <c r="T10" i="20"/>
  <c r="U10" i="20"/>
  <c r="V10" i="20"/>
  <c r="W10" i="20"/>
  <c r="C11" i="20"/>
  <c r="C12" i="20"/>
  <c r="C13" i="20"/>
  <c r="C14" i="20"/>
  <c r="D14" i="20"/>
  <c r="E14" i="20"/>
  <c r="F14" i="20"/>
  <c r="G14" i="20"/>
  <c r="H14" i="20"/>
  <c r="I14" i="20"/>
  <c r="J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AC11" i="20" l="1"/>
  <c r="AA11" i="20"/>
  <c r="AE11" i="20"/>
  <c r="AI11" i="20"/>
  <c r="AD11" i="20"/>
  <c r="AB11" i="20"/>
  <c r="AF11" i="20"/>
  <c r="AJ11" i="20"/>
  <c r="Y11" i="20"/>
  <c r="AG11" i="20"/>
  <c r="AH11" i="20"/>
  <c r="Z11" i="20"/>
  <c r="W13" i="22"/>
  <c r="V13" i="22"/>
  <c r="U13" i="22"/>
  <c r="T13" i="22"/>
  <c r="S13" i="22"/>
  <c r="R13" i="22"/>
  <c r="Q13" i="22"/>
  <c r="P13" i="22"/>
  <c r="O13" i="22"/>
  <c r="N13" i="22"/>
  <c r="M13" i="22"/>
  <c r="L13" i="22"/>
  <c r="J13" i="22"/>
  <c r="I13" i="22"/>
  <c r="H13" i="22"/>
  <c r="G13" i="22"/>
  <c r="F13" i="22"/>
  <c r="E13" i="22"/>
  <c r="D13" i="22"/>
  <c r="H6" i="22"/>
  <c r="I6" i="22" s="1"/>
  <c r="J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Y6" i="22" s="1"/>
  <c r="Z6" i="22" s="1"/>
  <c r="AA6" i="22" s="1"/>
  <c r="AB6" i="22" s="1"/>
  <c r="AC6" i="22" s="1"/>
  <c r="AD6" i="22" s="1"/>
  <c r="AE6" i="22" s="1"/>
  <c r="AF6" i="22" s="1"/>
  <c r="AG6" i="22" s="1"/>
  <c r="AH6" i="22" s="1"/>
  <c r="AI6" i="22" s="1"/>
  <c r="AJ6" i="22" s="1"/>
  <c r="W13" i="21"/>
  <c r="V13" i="21"/>
  <c r="U13" i="21"/>
  <c r="T13" i="21"/>
  <c r="S13" i="21"/>
  <c r="R13" i="21"/>
  <c r="Q13" i="21"/>
  <c r="P13" i="21"/>
  <c r="O13" i="21"/>
  <c r="N13" i="21"/>
  <c r="M13" i="21"/>
  <c r="L13" i="21"/>
  <c r="J13" i="21"/>
  <c r="I13" i="21"/>
  <c r="H13" i="21"/>
  <c r="F13" i="21"/>
  <c r="E13" i="21"/>
  <c r="D13" i="21"/>
  <c r="H6" i="21"/>
  <c r="I6" i="21" s="1"/>
  <c r="J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Y6" i="21" s="1"/>
  <c r="Z6" i="21" s="1"/>
  <c r="AA6" i="21" s="1"/>
  <c r="AB6" i="21" s="1"/>
  <c r="AC6" i="21" s="1"/>
  <c r="AD6" i="21" s="1"/>
  <c r="AE6" i="21" s="1"/>
  <c r="AF6" i="21" s="1"/>
  <c r="AG6" i="21" s="1"/>
  <c r="AH6" i="21" s="1"/>
  <c r="AI6" i="21" s="1"/>
  <c r="AJ6" i="21" s="1"/>
  <c r="W13" i="19"/>
  <c r="V13" i="19"/>
  <c r="U13" i="19"/>
  <c r="T13" i="19"/>
  <c r="S13" i="19"/>
  <c r="R13" i="19"/>
  <c r="Q13" i="19"/>
  <c r="P13" i="19"/>
  <c r="O13" i="19"/>
  <c r="N13" i="19"/>
  <c r="M13" i="19"/>
  <c r="L13" i="19"/>
  <c r="J13" i="19"/>
  <c r="I13" i="19"/>
  <c r="H13" i="19"/>
  <c r="G13" i="19"/>
  <c r="F13" i="19"/>
  <c r="E13" i="19"/>
  <c r="D13" i="19"/>
  <c r="W13" i="18"/>
  <c r="V13" i="18"/>
  <c r="U13" i="18"/>
  <c r="T13" i="18"/>
  <c r="S13" i="18"/>
  <c r="R13" i="18"/>
  <c r="Q13" i="18"/>
  <c r="P13" i="18"/>
  <c r="O13" i="18"/>
  <c r="N13" i="18"/>
  <c r="M13" i="18"/>
  <c r="L13" i="18"/>
  <c r="J13" i="18"/>
  <c r="I13" i="18"/>
  <c r="H13" i="18"/>
  <c r="G13" i="18"/>
  <c r="F13" i="18"/>
  <c r="E13" i="18"/>
  <c r="D13" i="18"/>
  <c r="E6" i="18"/>
  <c r="F6" i="18" s="1"/>
  <c r="G6" i="18" s="1"/>
  <c r="H6" i="18" s="1"/>
  <c r="I6" i="18" s="1"/>
  <c r="J6" i="18" s="1"/>
  <c r="L6" i="18" s="1"/>
  <c r="M6" i="18" s="1"/>
  <c r="N6" i="18" s="1"/>
  <c r="O6" i="18" s="1"/>
  <c r="P6" i="18" s="1"/>
  <c r="Q6" i="18" s="1"/>
  <c r="R6" i="18" s="1"/>
  <c r="S6" i="18" s="1"/>
  <c r="T6" i="18" s="1"/>
  <c r="U6" i="18" s="1"/>
  <c r="V6" i="18" s="1"/>
  <c r="W6" i="18" s="1"/>
  <c r="Y6" i="18" s="1"/>
  <c r="Z6" i="18" s="1"/>
  <c r="AA6" i="18" s="1"/>
  <c r="AB6" i="18" s="1"/>
  <c r="AC6" i="18" s="1"/>
  <c r="AD6" i="18" s="1"/>
  <c r="AE6" i="18" s="1"/>
  <c r="AF6" i="18" s="1"/>
  <c r="AG6" i="18" s="1"/>
  <c r="AH6" i="18" s="1"/>
  <c r="AI6" i="18" s="1"/>
  <c r="AJ6" i="18" s="1"/>
  <c r="W13" i="17"/>
  <c r="V13" i="17"/>
  <c r="U13" i="17"/>
  <c r="T13" i="17"/>
  <c r="S13" i="17"/>
  <c r="R13" i="17"/>
  <c r="Q13" i="17"/>
  <c r="P13" i="17"/>
  <c r="O13" i="17"/>
  <c r="N13" i="17"/>
  <c r="M13" i="17"/>
  <c r="L13" i="17"/>
  <c r="J13" i="17"/>
  <c r="I13" i="17"/>
  <c r="H13" i="17"/>
  <c r="G13" i="17"/>
  <c r="F13" i="17"/>
  <c r="E13" i="17"/>
  <c r="D13" i="17"/>
  <c r="E6" i="17"/>
  <c r="F6" i="17" s="1"/>
  <c r="G6" i="17" s="1"/>
  <c r="H6" i="17" s="1"/>
  <c r="I6" i="17" s="1"/>
  <c r="J6" i="17" s="1"/>
  <c r="L6" i="17" s="1"/>
  <c r="M6" i="17" s="1"/>
  <c r="N6" i="17" s="1"/>
  <c r="O6" i="17" s="1"/>
  <c r="P6" i="17" s="1"/>
  <c r="Q6" i="17" s="1"/>
  <c r="R6" i="17" s="1"/>
  <c r="S6" i="17" s="1"/>
  <c r="T6" i="17" s="1"/>
  <c r="U6" i="17" s="1"/>
  <c r="V6" i="17" s="1"/>
  <c r="W6" i="17" s="1"/>
  <c r="Y6" i="17" s="1"/>
  <c r="Z6" i="17" s="1"/>
  <c r="AA6" i="17" s="1"/>
  <c r="AB6" i="17" s="1"/>
  <c r="AC6" i="17" s="1"/>
  <c r="AD6" i="17" s="1"/>
  <c r="AE6" i="17" s="1"/>
  <c r="AF6" i="17" s="1"/>
  <c r="AG6" i="17" s="1"/>
  <c r="AH6" i="17" s="1"/>
  <c r="AI6" i="17" s="1"/>
  <c r="AJ6" i="17" s="1"/>
  <c r="W13" i="16"/>
  <c r="V13" i="16"/>
  <c r="U13" i="16"/>
  <c r="T13" i="16"/>
  <c r="S13" i="16"/>
  <c r="R13" i="16"/>
  <c r="Q13" i="16"/>
  <c r="P13" i="16"/>
  <c r="O13" i="16"/>
  <c r="N13" i="16"/>
  <c r="M13" i="16"/>
  <c r="L13" i="16"/>
  <c r="J13" i="16"/>
  <c r="I13" i="16"/>
  <c r="H13" i="16"/>
  <c r="G13" i="16"/>
  <c r="F13" i="16"/>
  <c r="E13" i="16"/>
  <c r="D13" i="16"/>
  <c r="G6" i="16"/>
  <c r="H6" i="16" s="1"/>
  <c r="I6" i="16" s="1"/>
  <c r="J6" i="16" s="1"/>
  <c r="L6" i="16" s="1"/>
  <c r="M6" i="16" s="1"/>
  <c r="N6" i="16" s="1"/>
  <c r="O6" i="16" s="1"/>
  <c r="P6" i="16" s="1"/>
  <c r="Q6" i="16" s="1"/>
  <c r="R6" i="16" s="1"/>
  <c r="S6" i="16" s="1"/>
  <c r="T6" i="16" s="1"/>
  <c r="U6" i="16" s="1"/>
  <c r="V6" i="16" s="1"/>
  <c r="W6" i="16" s="1"/>
  <c r="Y6" i="16" s="1"/>
  <c r="Z6" i="16" s="1"/>
  <c r="AA6" i="16" s="1"/>
  <c r="AB6" i="16" s="1"/>
  <c r="AC6" i="16" s="1"/>
  <c r="AD6" i="16" s="1"/>
  <c r="AE6" i="16" s="1"/>
  <c r="AF6" i="16" s="1"/>
  <c r="AG6" i="16" s="1"/>
  <c r="AH6" i="16" s="1"/>
  <c r="AI6" i="16" s="1"/>
  <c r="AJ6" i="16" s="1"/>
  <c r="W13" i="15"/>
  <c r="V13" i="15"/>
  <c r="U13" i="15"/>
  <c r="T13" i="15"/>
  <c r="S13" i="15"/>
  <c r="R13" i="15"/>
  <c r="Q13" i="15"/>
  <c r="P13" i="15"/>
  <c r="O13" i="15"/>
  <c r="N13" i="15"/>
  <c r="M13" i="15"/>
  <c r="L13" i="15"/>
  <c r="J13" i="15"/>
  <c r="I13" i="15"/>
  <c r="H13" i="15"/>
  <c r="G13" i="15"/>
  <c r="F13" i="15"/>
  <c r="E13" i="15"/>
  <c r="D13" i="15"/>
  <c r="J6" i="15"/>
  <c r="L6" i="15" s="1"/>
  <c r="M6" i="15" s="1"/>
  <c r="N6" i="15" s="1"/>
  <c r="O6" i="15" s="1"/>
  <c r="P6" i="15" s="1"/>
  <c r="Q6" i="15" s="1"/>
  <c r="R6" i="15" s="1"/>
  <c r="S6" i="15" s="1"/>
  <c r="T6" i="15" s="1"/>
  <c r="U6" i="15" s="1"/>
  <c r="V6" i="15" s="1"/>
  <c r="W6" i="15" s="1"/>
  <c r="Y6" i="15" s="1"/>
  <c r="Z6" i="15" s="1"/>
  <c r="AA6" i="15" s="1"/>
  <c r="AB6" i="15" s="1"/>
  <c r="AC6" i="15" s="1"/>
  <c r="AD6" i="15" s="1"/>
  <c r="AE6" i="15" s="1"/>
  <c r="AF6" i="15" s="1"/>
  <c r="AG6" i="15" s="1"/>
  <c r="AH6" i="15" s="1"/>
  <c r="AI6" i="15" s="1"/>
  <c r="AJ6" i="15" s="1"/>
  <c r="W13" i="14"/>
  <c r="V13" i="14"/>
  <c r="U13" i="14"/>
  <c r="T13" i="14"/>
  <c r="S13" i="14"/>
  <c r="R13" i="14"/>
  <c r="Q13" i="14"/>
  <c r="P13" i="14"/>
  <c r="O13" i="14"/>
  <c r="N13" i="14"/>
  <c r="M13" i="14"/>
  <c r="L13" i="14"/>
  <c r="J13" i="14"/>
  <c r="I13" i="14"/>
  <c r="H13" i="14"/>
  <c r="G13" i="14"/>
  <c r="F13" i="14"/>
  <c r="E13" i="14"/>
  <c r="D13" i="14"/>
  <c r="J6" i="14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AI6" i="14" s="1"/>
  <c r="AJ6" i="14" s="1"/>
  <c r="W13" i="13"/>
  <c r="V13" i="13"/>
  <c r="U13" i="13"/>
  <c r="T13" i="13"/>
  <c r="S13" i="13"/>
  <c r="R13" i="13"/>
  <c r="Q13" i="13"/>
  <c r="P13" i="13"/>
  <c r="O13" i="13"/>
  <c r="N13" i="13"/>
  <c r="M13" i="13"/>
  <c r="L13" i="13"/>
  <c r="J13" i="13"/>
  <c r="I13" i="13"/>
  <c r="H13" i="13"/>
  <c r="G13" i="13"/>
  <c r="F13" i="13"/>
  <c r="E13" i="13"/>
  <c r="D13" i="13"/>
  <c r="D6" i="13"/>
  <c r="E6" i="13" s="1"/>
  <c r="F6" i="13" s="1"/>
  <c r="G6" i="13" s="1"/>
  <c r="H6" i="13" s="1"/>
  <c r="I6" i="13" s="1"/>
  <c r="J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W13" i="12"/>
  <c r="V13" i="12"/>
  <c r="U13" i="12"/>
  <c r="T13" i="12"/>
  <c r="S13" i="12"/>
  <c r="R13" i="12"/>
  <c r="Q13" i="12"/>
  <c r="P13" i="12"/>
  <c r="O13" i="12"/>
  <c r="N13" i="12"/>
  <c r="M13" i="12"/>
  <c r="L13" i="12"/>
  <c r="J13" i="12"/>
  <c r="I13" i="12"/>
  <c r="H13" i="12"/>
  <c r="G13" i="12"/>
  <c r="F13" i="12"/>
  <c r="E13" i="12"/>
  <c r="D13" i="12"/>
  <c r="N6" i="12"/>
  <c r="O6" i="12" s="1"/>
  <c r="P6" i="12" s="1"/>
  <c r="Q6" i="12" s="1"/>
  <c r="R6" i="12" s="1"/>
  <c r="S6" i="12" s="1"/>
  <c r="T6" i="12" s="1"/>
  <c r="U6" i="12" s="1"/>
  <c r="V6" i="12" s="1"/>
  <c r="W6" i="12" s="1"/>
  <c r="Y6" i="12" s="1"/>
  <c r="Z6" i="12" s="1"/>
  <c r="AA6" i="12" s="1"/>
  <c r="AB6" i="12" s="1"/>
  <c r="AC6" i="12" s="1"/>
  <c r="AD6" i="12" s="1"/>
  <c r="AE6" i="12" s="1"/>
  <c r="AF6" i="12" s="1"/>
  <c r="AG6" i="12" s="1"/>
  <c r="AH6" i="12" s="1"/>
  <c r="AI6" i="12" s="1"/>
  <c r="AJ6" i="12" s="1"/>
  <c r="W13" i="11"/>
  <c r="V13" i="11"/>
  <c r="U13" i="11"/>
  <c r="T13" i="11"/>
  <c r="S13" i="11"/>
  <c r="R13" i="11"/>
  <c r="Q13" i="11"/>
  <c r="P13" i="11"/>
  <c r="O13" i="11"/>
  <c r="N13" i="11"/>
  <c r="M13" i="11"/>
  <c r="L13" i="11"/>
  <c r="J13" i="11"/>
  <c r="I13" i="11"/>
  <c r="H13" i="11"/>
  <c r="G13" i="11"/>
  <c r="F13" i="11"/>
  <c r="E13" i="11"/>
  <c r="D13" i="11"/>
  <c r="H6" i="11"/>
  <c r="I6" i="11" s="1"/>
  <c r="J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Y6" i="11" s="1"/>
  <c r="Z6" i="11" s="1"/>
  <c r="AA6" i="11" s="1"/>
  <c r="AB6" i="11" s="1"/>
  <c r="AC6" i="11" s="1"/>
  <c r="AD6" i="11" s="1"/>
  <c r="AE6" i="11" s="1"/>
  <c r="AF6" i="11" s="1"/>
  <c r="AG6" i="11" s="1"/>
  <c r="AH6" i="11" s="1"/>
  <c r="AI6" i="11" s="1"/>
  <c r="AJ6" i="11" s="1"/>
  <c r="W13" i="10"/>
  <c r="V13" i="10"/>
  <c r="U13" i="10"/>
  <c r="T13" i="10"/>
  <c r="S13" i="10"/>
  <c r="R13" i="10"/>
  <c r="Q13" i="10"/>
  <c r="P13" i="10"/>
  <c r="O13" i="10"/>
  <c r="N13" i="10"/>
  <c r="M13" i="10"/>
  <c r="L13" i="10"/>
  <c r="J13" i="10"/>
  <c r="I13" i="10"/>
  <c r="H13" i="10"/>
  <c r="G13" i="10"/>
  <c r="F13" i="10"/>
  <c r="E13" i="10"/>
  <c r="D13" i="10"/>
  <c r="H6" i="10"/>
  <c r="I6" i="10" s="1"/>
  <c r="J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Y6" i="10" s="1"/>
  <c r="Z6" i="10" s="1"/>
  <c r="AA6" i="10" s="1"/>
  <c r="AB6" i="10" s="1"/>
  <c r="AC6" i="10" s="1"/>
  <c r="AD6" i="10" s="1"/>
  <c r="AE6" i="10" s="1"/>
  <c r="AF6" i="10" s="1"/>
  <c r="AG6" i="10" s="1"/>
  <c r="AH6" i="10" s="1"/>
  <c r="AI6" i="10" s="1"/>
  <c r="AJ6" i="10" s="1"/>
  <c r="W13" i="9"/>
  <c r="V13" i="9"/>
  <c r="U13" i="9"/>
  <c r="T13" i="9"/>
  <c r="S13" i="9"/>
  <c r="R13" i="9"/>
  <c r="Q13" i="9"/>
  <c r="P13" i="9"/>
  <c r="O13" i="9"/>
  <c r="N13" i="9"/>
  <c r="M13" i="9"/>
  <c r="L13" i="9"/>
  <c r="J13" i="9"/>
  <c r="I13" i="9"/>
  <c r="H13" i="9"/>
  <c r="G13" i="9"/>
  <c r="F13" i="9"/>
  <c r="E13" i="9"/>
  <c r="D13" i="9"/>
  <c r="H6" i="9"/>
  <c r="I6" i="9" s="1"/>
  <c r="J6" i="9" s="1"/>
  <c r="L6" i="9" s="1"/>
  <c r="M6" i="9" s="1"/>
  <c r="N6" i="9" s="1"/>
  <c r="O6" i="9" s="1"/>
  <c r="P6" i="9" s="1"/>
  <c r="Q6" i="9" s="1"/>
  <c r="R6" i="9" s="1"/>
  <c r="S6" i="9" s="1"/>
  <c r="T6" i="9" s="1"/>
  <c r="U6" i="9" s="1"/>
  <c r="V6" i="9" s="1"/>
  <c r="W6" i="9" s="1"/>
  <c r="Y6" i="9" s="1"/>
  <c r="Z6" i="9" s="1"/>
  <c r="AA6" i="9" s="1"/>
  <c r="AB6" i="9" s="1"/>
  <c r="AC6" i="9" s="1"/>
  <c r="AD6" i="9" s="1"/>
  <c r="AE6" i="9" s="1"/>
  <c r="AF6" i="9" s="1"/>
  <c r="AG6" i="9" s="1"/>
  <c r="AH6" i="9" s="1"/>
  <c r="AI6" i="9" s="1"/>
  <c r="AJ6" i="9" s="1"/>
  <c r="W13" i="8"/>
  <c r="V13" i="8"/>
  <c r="U13" i="8"/>
  <c r="T13" i="8"/>
  <c r="S13" i="8"/>
  <c r="R13" i="8"/>
  <c r="Q13" i="8"/>
  <c r="P13" i="8"/>
  <c r="O13" i="8"/>
  <c r="N13" i="8"/>
  <c r="M13" i="8"/>
  <c r="L13" i="8"/>
  <c r="J13" i="8"/>
  <c r="I13" i="8"/>
  <c r="H13" i="8"/>
  <c r="G13" i="8"/>
  <c r="F13" i="8"/>
  <c r="E13" i="8"/>
  <c r="D13" i="8"/>
  <c r="H6" i="8"/>
  <c r="I6" i="8" s="1"/>
  <c r="J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W13" i="7"/>
  <c r="V13" i="7"/>
  <c r="U13" i="7"/>
  <c r="T13" i="7"/>
  <c r="S13" i="7"/>
  <c r="R13" i="7"/>
  <c r="Q13" i="7"/>
  <c r="P13" i="7"/>
  <c r="O13" i="7"/>
  <c r="N13" i="7"/>
  <c r="M13" i="7"/>
  <c r="L13" i="7"/>
  <c r="J13" i="7"/>
  <c r="I13" i="7"/>
  <c r="H13" i="7"/>
  <c r="G13" i="7"/>
  <c r="F13" i="7"/>
  <c r="E13" i="7"/>
  <c r="D13" i="7"/>
  <c r="H6" i="7"/>
  <c r="I6" i="7" s="1"/>
  <c r="J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Y6" i="7" s="1"/>
  <c r="Z6" i="7" s="1"/>
  <c r="AA6" i="7" s="1"/>
  <c r="AB6" i="7" s="1"/>
  <c r="AC6" i="7" s="1"/>
  <c r="AD6" i="7" s="1"/>
  <c r="AE6" i="7" s="1"/>
  <c r="AF6" i="7" s="1"/>
  <c r="AG6" i="7" s="1"/>
  <c r="AH6" i="7" s="1"/>
  <c r="AI6" i="7" s="1"/>
  <c r="AJ6" i="7" s="1"/>
  <c r="F13" i="20" l="1"/>
  <c r="F11" i="20" s="1"/>
  <c r="E13" i="20"/>
  <c r="E11" i="20" s="1"/>
  <c r="H13" i="20"/>
  <c r="H11" i="20" s="1"/>
  <c r="G13" i="20"/>
  <c r="G11" i="20" s="1"/>
  <c r="E6" i="19"/>
  <c r="D6" i="20"/>
  <c r="R13" i="20"/>
  <c r="R11" i="20" s="1"/>
  <c r="W13" i="20"/>
  <c r="W11" i="20" s="1"/>
  <c r="V13" i="20"/>
  <c r="V11" i="20" s="1"/>
  <c r="T13" i="20"/>
  <c r="T11" i="20" s="1"/>
  <c r="U13" i="20"/>
  <c r="U11" i="20" s="1"/>
  <c r="S13" i="20"/>
  <c r="S11" i="20" s="1"/>
  <c r="Q13" i="20"/>
  <c r="Q11" i="20" s="1"/>
  <c r="P13" i="20"/>
  <c r="P11" i="20" s="1"/>
  <c r="O13" i="20"/>
  <c r="I13" i="20"/>
  <c r="D13" i="20"/>
  <c r="J13" i="20"/>
  <c r="J11" i="20" s="1"/>
  <c r="N13" i="20"/>
  <c r="M13" i="20"/>
  <c r="L13" i="20"/>
  <c r="L11" i="20" s="1"/>
  <c r="D12" i="20" l="1"/>
  <c r="F6" i="19"/>
  <c r="E6" i="20"/>
  <c r="E12" i="20" s="1"/>
  <c r="O11" i="20"/>
  <c r="I11" i="20"/>
  <c r="D11" i="20"/>
  <c r="K13" i="20"/>
  <c r="X13" i="20" s="1"/>
  <c r="AK13" i="20" s="1"/>
  <c r="N11" i="20"/>
  <c r="M11" i="20"/>
  <c r="F6" i="20" l="1"/>
  <c r="F12" i="20" s="1"/>
  <c r="G6" i="19"/>
  <c r="G6" i="20" l="1"/>
  <c r="G12" i="20" s="1"/>
  <c r="H6" i="19"/>
  <c r="H6" i="20" l="1"/>
  <c r="H12" i="20" s="1"/>
  <c r="I6" i="19"/>
  <c r="I6" i="20" l="1"/>
  <c r="I12" i="20" s="1"/>
  <c r="J6" i="19"/>
  <c r="J6" i="20" l="1"/>
  <c r="J12" i="20" s="1"/>
  <c r="L6" i="19"/>
  <c r="L6" i="20" l="1"/>
  <c r="L12" i="20" s="1"/>
  <c r="M6" i="19"/>
  <c r="M6" i="20" l="1"/>
  <c r="M12" i="20" s="1"/>
  <c r="N6" i="19"/>
  <c r="N6" i="20" l="1"/>
  <c r="N12" i="20" s="1"/>
  <c r="O6" i="19"/>
  <c r="O6" i="20" l="1"/>
  <c r="O12" i="20" s="1"/>
  <c r="P6" i="19"/>
  <c r="P6" i="20" l="1"/>
  <c r="P12" i="20" s="1"/>
  <c r="Q6" i="19"/>
  <c r="Q6" i="20" l="1"/>
  <c r="Q12" i="20" s="1"/>
  <c r="R6" i="19"/>
  <c r="R6" i="20" l="1"/>
  <c r="R12" i="20" s="1"/>
  <c r="S6" i="19"/>
  <c r="S6" i="20" l="1"/>
  <c r="S12" i="20" s="1"/>
  <c r="T6" i="19"/>
  <c r="T6" i="20" l="1"/>
  <c r="T12" i="20" s="1"/>
  <c r="U6" i="19"/>
  <c r="U6" i="20" l="1"/>
  <c r="U12" i="20" s="1"/>
  <c r="V6" i="19"/>
  <c r="V6" i="20" l="1"/>
  <c r="V12" i="20" s="1"/>
  <c r="W6" i="19"/>
  <c r="W6" i="20" l="1"/>
  <c r="W12" i="20" s="1"/>
  <c r="Y6" i="19"/>
  <c r="Z6" i="19" l="1"/>
  <c r="Y6" i="20"/>
  <c r="Y12" i="20" s="1"/>
  <c r="AA6" i="19" l="1"/>
  <c r="Z6" i="20"/>
  <c r="Z12" i="20" s="1"/>
  <c r="AB6" i="19" l="1"/>
  <c r="AA6" i="20"/>
  <c r="AA12" i="20" s="1"/>
  <c r="AC6" i="19" l="1"/>
  <c r="AB6" i="20"/>
  <c r="AB12" i="20" s="1"/>
  <c r="AD6" i="19" l="1"/>
  <c r="AC6" i="20"/>
  <c r="AC12" i="20" s="1"/>
  <c r="AE6" i="19" l="1"/>
  <c r="AD6" i="20"/>
  <c r="AD12" i="20" s="1"/>
  <c r="AF6" i="19" l="1"/>
  <c r="AE6" i="20"/>
  <c r="AE12" i="20" s="1"/>
  <c r="AG6" i="19" l="1"/>
  <c r="AF6" i="20"/>
  <c r="AF12" i="20" s="1"/>
  <c r="AH6" i="19" l="1"/>
  <c r="AG6" i="20"/>
  <c r="AG12" i="20" s="1"/>
  <c r="AI6" i="19" l="1"/>
  <c r="AH6" i="20"/>
  <c r="AH12" i="20" s="1"/>
  <c r="AJ6" i="19" l="1"/>
  <c r="AJ6" i="20" s="1"/>
  <c r="AJ12" i="20" s="1"/>
  <c r="AI6" i="20"/>
  <c r="AI12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A6" authorId="0" shapeId="0" xr:uid="{1C6FDCF3-7B25-449A-8A87-DA63E18D4AF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943384C1-9993-41D1-9CE2-D4400A878B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夏目 卓司</author>
  </authors>
  <commentList>
    <comment ref="N4" authorId="0" shapeId="0" xr:uid="{B24D72DF-2207-4C79-BF00-EC4ECB0D11F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10/5入居
27日分賃料：390,193円
礼金：448,000円</t>
        </r>
      </text>
    </comment>
    <comment ref="O4" authorId="0" shapeId="0" xr:uid="{18122FA0-B206-4DE2-8BC6-4654FC3D9ED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賃料：448,000円</t>
        </r>
      </text>
    </comment>
    <comment ref="A6" authorId="0" shapeId="0" xr:uid="{50BD7D81-D61D-44A9-97C5-AB701CBD687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
</t>
        </r>
      </text>
    </comment>
    <comment ref="C6" authorId="0" shapeId="0" xr:uid="{0767C214-98E5-4E14-B45A-7620CCFCB53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N8" authorId="0" shapeId="0" xr:uid="{C6439E73-B9AF-46CB-B545-7C9DB75025A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10/5入居
27日分定率管理委任報酬：8,583円</t>
        </r>
      </text>
    </comment>
    <comment ref="O8" authorId="0" shapeId="0" xr:uid="{6944757B-AB8A-4BA3-8C76-0FA167BC62C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448,000円×2％＝8,960（税別）
9,856円（税込）</t>
        </r>
      </text>
    </comment>
    <comment ref="C9" authorId="1" shapeId="0" xr:uid="{3C3D8DB1-3E87-49DF-9D12-32282C712FC2}">
      <text>
        <r>
          <rPr>
            <sz val="9"/>
            <color indexed="81"/>
            <rFont val="MS P ゴシック"/>
            <family val="3"/>
            <charset val="128"/>
          </rPr>
          <t>登記費用概算金：560,000円
修繕積立基金：1,773,600円</t>
        </r>
      </text>
    </comment>
    <comment ref="D9" authorId="1" shapeId="0" xr:uid="{FC0CF839-38EE-4455-9CD6-80C67F97FCEE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令和6年固都税：451,000円</t>
        </r>
      </text>
    </comment>
    <comment ref="M9" authorId="1" shapeId="0" xr:uid="{373F511F-ED09-41DB-A416-B28B4D256339}">
      <text>
        <r>
          <rPr>
            <sz val="9"/>
            <color indexed="81"/>
            <rFont val="MS P ゴシック"/>
            <family val="3"/>
            <charset val="128"/>
          </rPr>
          <t>リビングエアコン設置費用：127,000</t>
        </r>
      </text>
    </comment>
    <comment ref="N9" authorId="0" shapeId="0" xr:uid="{27AA6C56-0A63-4782-8492-72A3EC38FAB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仲介手数料：492,800円</t>
        </r>
      </text>
    </comment>
    <comment ref="U9" authorId="1" shapeId="0" xr:uid="{68999748-D2DD-45DE-B7B2-D83EBD4CC6C5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令和7年固都税：238,537円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夏目 卓司</author>
  </authors>
  <commentList>
    <comment ref="P4" authorId="0" shapeId="0" xr:uid="{77A2DB92-1609-41DE-BC82-C2A7EC1DDAF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礼金：400,000円　12/26入居
12月日割賃料6日分：77,419円
400,000÷31日×6日</t>
        </r>
      </text>
    </comment>
    <comment ref="Q4" authorId="0" shapeId="0" xr:uid="{C7808880-E47B-41D7-9DC0-C8A1722FA8F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賃料：400,000円</t>
        </r>
      </text>
    </comment>
    <comment ref="A6" authorId="0" shapeId="0" xr:uid="{E32B48D9-E483-421B-A372-B6EC09025F2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
</t>
        </r>
      </text>
    </comment>
    <comment ref="C6" authorId="0" shapeId="0" xr:uid="{9750CCC0-2205-4F56-B126-68CEF53972A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P8" authorId="0" shapeId="0" xr:uid="{1AD00250-0E6C-4637-8F5A-C747189EF82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定率管理委任報酬：1,702円(税込)
77,419円×2％＝1,548円
</t>
        </r>
      </text>
    </comment>
    <comment ref="Q8" authorId="0" shapeId="0" xr:uid="{603865F1-2CAE-4454-B060-B6E7DBFD7F9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定率管理委任報酬：8,800円(税込)
</t>
        </r>
      </text>
    </comment>
    <comment ref="C9" authorId="1" shapeId="0" xr:uid="{F48EB04E-A51D-459D-BDAD-F64F4C143C96}">
      <text>
        <r>
          <rPr>
            <sz val="9"/>
            <color indexed="81"/>
            <rFont val="MS P ゴシック"/>
            <family val="3"/>
            <charset val="128"/>
          </rPr>
          <t>登記費用概算：560,000円
修繕積立基金：1,762,800円</t>
        </r>
      </text>
    </comment>
    <comment ref="D9" authorId="1" shapeId="0" xr:uid="{675874DD-213E-436E-B3CE-E85791B2AF08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令和6年固都税：451,000円</t>
        </r>
      </text>
    </comment>
    <comment ref="N9" authorId="0" shapeId="0" xr:uid="{2366C1FD-DC1E-4ED9-A530-24803213AF1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エアコン取替工事費用（リビング1台）</t>
        </r>
      </text>
    </comment>
    <comment ref="O9" authorId="0" shapeId="0" xr:uid="{A18C1C5D-3898-46EF-AD68-78768CA59DD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電気代11/5～12/3：1,273円
</t>
        </r>
      </text>
    </comment>
    <comment ref="P9" authorId="0" shapeId="0" xr:uid="{7D6E8DB4-80BB-4A5C-AB02-20C98565448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仲介手数料：440,000円
水道代11/25～12/25：2,251円
電気代12/4～12/25：857円</t>
        </r>
      </text>
    </comment>
    <comment ref="U9" authorId="1" shapeId="0" xr:uid="{61243DA1-7262-44BD-9196-B01440A42EF6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令和7年固都税：238,489円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夏目 卓司</author>
  </authors>
  <commentList>
    <comment ref="R4" authorId="0" shapeId="0" xr:uid="{512689CC-A4F7-438C-9D53-5262D4E1022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礼金：458,000円　2/8入居
2月日割賃料日分：343,500円
458,000÷28日×21日</t>
        </r>
      </text>
    </comment>
    <comment ref="S4" authorId="0" shapeId="0" xr:uid="{51128E34-C6FA-4D6D-AEB5-DE57D74B43C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賃料：458,000円</t>
        </r>
      </text>
    </comment>
    <comment ref="A6" authorId="0" shapeId="0" xr:uid="{3B29932E-301E-41D3-AB1A-CFFA730C773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7B5D4282-D9E9-49B3-930F-F92A6A00AF1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R8" authorId="0" shapeId="0" xr:uid="{BF1B01D8-7CC2-49AE-8D93-B85AEA88EA6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定率管理委任報酬：7,557円(税込)
343,500円×2％＝6,870円</t>
        </r>
      </text>
    </comment>
    <comment ref="S8" authorId="0" shapeId="0" xr:uid="{0B6B07E7-1546-44FE-8C2A-9A393E14E28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定率管理委任報酬：10,076円(税込)</t>
        </r>
      </text>
    </comment>
    <comment ref="C9" authorId="1" shapeId="0" xr:uid="{F03B9F8D-5177-4019-BAE0-DB9024FEEE60}">
      <text>
        <r>
          <rPr>
            <sz val="9"/>
            <color indexed="81"/>
            <rFont val="MS P ゴシック"/>
            <family val="3"/>
            <charset val="128"/>
          </rPr>
          <t>登記費用概算：450,000円
修繕積立基金：1,394,400円</t>
        </r>
      </text>
    </comment>
    <comment ref="D9" authorId="1" shapeId="0" xr:uid="{9D6699FF-D971-47B3-8F09-91C3837B63B1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令和6年固都税：440,000円</t>
        </r>
      </text>
    </comment>
    <comment ref="N9" authorId="0" shapeId="0" xr:uid="{3391B4B9-0DC4-44A7-B0B9-0FB0E189CD9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エアコン取替工事費用（リビング1台）</t>
        </r>
      </text>
    </comment>
    <comment ref="P9" authorId="0" shapeId="0" xr:uid="{A6FF2757-649F-4499-8797-9B49FC08994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電気代12/4～1/5：1,896円</t>
        </r>
      </text>
    </comment>
    <comment ref="Q9" authorId="0" shapeId="0" xr:uid="{7A93DE55-D78C-43E0-A374-CF8F2EB5B1D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電気代1/6～2/2：1,270円
水道代11/25～1/24：3,806円</t>
        </r>
      </text>
    </comment>
    <comment ref="R9" authorId="0" shapeId="0" xr:uid="{BB0761ED-7B07-4A1D-A2C4-873478F491E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仲介手数料：503,800円
水道代1/25～2/7：888円
電気代2/3～2/7：107円</t>
        </r>
      </text>
    </comment>
    <comment ref="U9" authorId="1" shapeId="0" xr:uid="{065DE404-BF85-4989-B3DD-77EECE140F2F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令和7年固都税：196,177円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  <author>夏目 卓司</author>
  </authors>
  <commentList>
    <comment ref="P4" authorId="0" shapeId="0" xr:uid="{DAD8AF1D-6A3C-4F66-9431-ABCFAC4CB41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礼金：275,000円　12/24入居
12月日割賃料8日分：70,967円
275,000÷31日×8日</t>
        </r>
      </text>
    </comment>
    <comment ref="Q4" authorId="0" shapeId="0" xr:uid="{750E31CA-5ED0-4510-B900-436347D1858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賃料：275,000円</t>
        </r>
      </text>
    </comment>
    <comment ref="A6" authorId="0" shapeId="0" xr:uid="{23F22CDC-A1E0-4E58-B90C-0CA97536F52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81A952E3-7C78-4EB8-A229-892F780435E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Y7" authorId="1" shapeId="0" xr:uid="{88215AF2-B16C-4349-B84A-4446380442AE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管理費：19,010円
ﾈｯﾄﾜｰｸ関連：660円
修繕積立金：20,640円</t>
        </r>
      </text>
    </comment>
    <comment ref="P8" authorId="0" shapeId="0" xr:uid="{C1E399CF-A0A6-48E4-BEFA-DDEBEFB8C55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定率管理委任報酬：1,560円(税込)
70,967円×2％＝1,419円
</t>
        </r>
      </text>
    </comment>
    <comment ref="Q8" authorId="0" shapeId="0" xr:uid="{D8A30434-E71B-4225-A767-B043D7F12A6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定率管理委任報酬：6,050円</t>
        </r>
      </text>
    </comment>
    <comment ref="C9" authorId="2" shapeId="0" xr:uid="{23A52E1A-18B7-45BD-BB6D-145B0DCC0361}">
      <text>
        <r>
          <rPr>
            <sz val="9"/>
            <color indexed="81"/>
            <rFont val="MS P ゴシック"/>
            <family val="3"/>
            <charset val="128"/>
          </rPr>
          <t>仲介手数料：2,310,000円
登記費用：415,092円</t>
        </r>
      </text>
    </comment>
    <comment ref="F9" authorId="2" shapeId="0" xr:uid="{49365F67-8C4C-482E-B6F7-AC26AC497066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令和6年固都税清算金：143,712円</t>
        </r>
      </text>
    </comment>
    <comment ref="M9" authorId="2" shapeId="0" xr:uid="{BEA2E589-FFBD-4C3A-BE58-00F279BFAF3F}">
      <text>
        <r>
          <rPr>
            <sz val="9"/>
            <color indexed="81"/>
            <rFont val="MS P ゴシック"/>
            <family val="3"/>
            <charset val="128"/>
          </rPr>
          <t>原状回復時ガスコンロ・食洗器交換費用</t>
        </r>
      </text>
    </comment>
    <comment ref="N9" authorId="0" shapeId="0" xr:uid="{9BDABD9F-B090-4293-AB9A-2B556FDA0DF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エアコン取替工事費用2台：290,000円
電気代10/22～11/20：1,271円</t>
        </r>
      </text>
    </comment>
    <comment ref="O9" authorId="0" shapeId="0" xr:uid="{50ACC68F-0B3D-4D4C-A350-0A351AE36F5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電気代11/21～12/18：1,866円
</t>
        </r>
      </text>
    </comment>
    <comment ref="P9" authorId="0" shapeId="0" xr:uid="{DB065782-D4AA-44A8-B559-C245E20CCE4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仲介手数料：302,500円
原状回復工事：400,000円
電気代12/19～12/26：1,512円</t>
        </r>
      </text>
    </comment>
    <comment ref="U9" authorId="0" shapeId="0" xr:uid="{8E762D67-2FFB-4243-97C2-432A765503A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ディスポーザー交換費用：176,000円
令和7年固都税：178,115円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  <author>夏目 卓司</author>
  </authors>
  <commentList>
    <comment ref="I4" authorId="0" shapeId="0" xr:uid="{1575EBCB-C257-432F-BBAD-F9898FB99F4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10日分賃料：64,333円
193,000円÷30日×10日</t>
        </r>
      </text>
    </comment>
    <comment ref="J4" authorId="0" shapeId="0" xr:uid="{12619C9F-C147-4399-8A78-BCFBB87278B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賃料：193,000円</t>
        </r>
      </text>
    </comment>
    <comment ref="AE4" authorId="1" shapeId="0" xr:uid="{1BA010BC-787C-4BA1-8982-BD80DBA6C89C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賃料：178,000円
管理費：15,000円</t>
        </r>
      </text>
    </comment>
    <comment ref="A6" authorId="0" shapeId="0" xr:uid="{F082BD5E-EC65-481B-9367-C1F4F0BC305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ECBCD305-AFA5-44C4-9E96-B1E31CC05D6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I7" authorId="0" shapeId="0" xr:uid="{4FE58D62-2277-402F-AE43-5B35CD92ED3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10日分管理費：8,017円
24,052円÷30日×10日</t>
        </r>
      </text>
    </comment>
    <comment ref="J7" authorId="0" shapeId="0" xr:uid="{F609B09F-678E-4281-AB66-5E61464358A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管理費：24,052円</t>
        </r>
      </text>
    </comment>
    <comment ref="Y7" authorId="1" shapeId="0" xr:uid="{06CAA903-71E9-4AC9-AFAB-A44AA3DBA571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全体管理費：1,000円
団地管理費：7,300円
住宅管理費：7､300円
全体修繕積立金：330円
団地修繕積立金：1,710円
修繕積立金：1,960円
住宅修繕積立金：2,010円
システム料金：1,562円
ｽﾏｰﾄﾏﾝｼｮﾝｻｰﾋﾞｰﾋﾞｽ利用料：880円</t>
        </r>
      </text>
    </comment>
    <comment ref="C9" authorId="2" shapeId="0" xr:uid="{B6CF7D89-EDA5-4E85-B0B2-0A13FD35F5BA}">
      <text>
        <r>
          <rPr>
            <sz val="9"/>
            <color indexed="81"/>
            <rFont val="MS P ゴシック"/>
            <family val="3"/>
            <charset val="128"/>
          </rPr>
          <t>仲介手数料：2,079,000円
登記費用：353,689円</t>
        </r>
      </text>
    </comment>
    <comment ref="I9" authorId="2" shapeId="0" xr:uid="{9D76E1C0-248F-4F49-8391-D7C4FC69DCBA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令和6年固都税清算金：49,098円</t>
        </r>
      </text>
    </comment>
    <comment ref="U9" authorId="2" shapeId="0" xr:uid="{580EEFC1-9014-45DD-9E40-4594AECD8F8A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令和7年固都税：93,407円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  <author>夏目 卓司</author>
  </authors>
  <commentList>
    <comment ref="L4" authorId="0" shapeId="0" xr:uid="{8ED2FAB0-3407-4C81-9266-ACB5E86A80D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8/16入居
16日分賃料：206,451円
400,000円÷31日×16日
礼金：400,000円</t>
        </r>
      </text>
    </comment>
    <comment ref="M4" authorId="0" shapeId="0" xr:uid="{3F16D69B-D31F-4E9C-AEBA-2EFAEF2B31E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賃料：400,000円</t>
        </r>
      </text>
    </comment>
    <comment ref="A6" authorId="0" shapeId="0" xr:uid="{83675DC2-1562-438B-A27B-01C22C34F0B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60C81A1E-A7AC-43D5-AD53-78913ACA437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Y7" authorId="1" shapeId="0" xr:uid="{159FB7C9-EA43-46A9-8347-1E52FB7F1267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全体管理費：20,060円
住宅管理費：9,780円
ｲﾝﾀｰﾈｯﾄ：2,640円
全体修繕費：6,130円
住宅修繕費：6,150円</t>
        </r>
      </text>
    </comment>
    <comment ref="L8" authorId="0" shapeId="0" xr:uid="{895EBD3C-F943-4CF8-AA3E-AC860FA8A7D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8/16入居
16日分定率管理委任報酬：4,541円
8,800円÷31日×16日</t>
        </r>
      </text>
    </comment>
    <comment ref="M8" authorId="0" shapeId="0" xr:uid="{BBA233E7-5051-4949-B2F8-503547F2708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定率管理委任報酬：8,800円</t>
        </r>
      </text>
    </comment>
    <comment ref="C9" authorId="2" shapeId="0" xr:uid="{FC0C69B7-18CC-4DDF-B55D-EAAE5D1985E6}">
      <text>
        <r>
          <rPr>
            <sz val="9"/>
            <color indexed="81"/>
            <rFont val="MS P ゴシック"/>
            <family val="3"/>
            <charset val="128"/>
          </rPr>
          <t>仲介手数料：5,375,700円
登記費用：663,582円</t>
        </r>
      </text>
    </comment>
    <comment ref="I9" authorId="2" shapeId="0" xr:uid="{75A4B2DF-C1C9-4EB0-AC6A-82D1BBA2D49E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令和6年固都税清算金：99,779円</t>
        </r>
      </text>
    </comment>
    <comment ref="L9" authorId="0" shapeId="0" xr:uid="{478F729F-BC65-4E67-991D-D6F8545AEAC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仲介手数料：440,000円</t>
        </r>
      </text>
    </comment>
    <comment ref="M9" authorId="0" shapeId="0" xr:uid="{758F7331-0AA0-4104-903A-CC341AA67D4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修繕費(リフォーム工事)：160,000円</t>
        </r>
      </text>
    </comment>
    <comment ref="U9" authorId="2" shapeId="0" xr:uid="{DE568F2C-A99D-46F9-846E-9693E9E2D0E9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令和7年固都税：193,404円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  <author>夏目 卓司</author>
  </authors>
  <commentList>
    <comment ref="L4" authorId="0" shapeId="0" xr:uid="{A7BBE7FD-C3DE-40AA-BCBF-BE470C2B9BF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入居者継続
賃料：260,000円</t>
        </r>
      </text>
    </comment>
    <comment ref="Y4" authorId="1" shapeId="0" xr:uid="{1DB798A5-4B42-4177-B7DA-E82850EB1990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賃料：245,000円
共益費：15,000円</t>
        </r>
      </text>
    </comment>
    <comment ref="A6" authorId="0" shapeId="0" xr:uid="{B1C6A9CF-20E2-41D6-9D53-8B7EEA27C32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B2B1323D-3854-4CEA-911B-274C9D10936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Y7" authorId="1" shapeId="0" xr:uid="{E068C27F-84D2-41A6-8560-FB02E86BA4AA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佐々木 由喜:
</t>
        </r>
        <r>
          <rPr>
            <sz val="9"/>
            <color indexed="81"/>
            <rFont val="MS P ゴシック"/>
            <family val="3"/>
            <charset val="128"/>
          </rPr>
          <t>【住宅部会】
管理費：16,250円
修繕積立金：3,170円
【管理組合】
管理費：1,410円
管理協力金：1,000円
修繕積立金：6,820円</t>
        </r>
      </text>
    </comment>
    <comment ref="AB7" authorId="1" shapeId="0" xr:uid="{1F5E5D7B-1A56-44B7-85D0-2FC903C73C9A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佐々木 由喜:
</t>
        </r>
        <r>
          <rPr>
            <sz val="9"/>
            <color indexed="81"/>
            <rFont val="MS P ゴシック"/>
            <family val="3"/>
            <charset val="128"/>
          </rPr>
          <t>【住宅部会】
管理費：16,250円
修繕積立金：7,770円
【管理組合】
管理費：1,410円
管理協力金：1,000円
修繕積立金：6,820円</t>
        </r>
      </text>
    </comment>
    <comment ref="M8" authorId="0" shapeId="0" xr:uid="{DA77269F-AC78-46F1-9FEB-662854AD44B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定率管理委任報酬：5,720円</t>
        </r>
      </text>
    </comment>
    <comment ref="C9" authorId="2" shapeId="0" xr:uid="{1241C1AE-0465-430A-8E4F-A0D17E14394E}">
      <text>
        <r>
          <rPr>
            <sz val="9"/>
            <color indexed="81"/>
            <rFont val="MS P ゴシック"/>
            <family val="3"/>
            <charset val="128"/>
          </rPr>
          <t>仲介手数料：3,451,222円
登記費用：390,043円</t>
        </r>
      </text>
    </comment>
    <comment ref="L9" authorId="2" shapeId="0" xr:uid="{A0947067-FDF9-4DA7-B2C9-C32753C23FCB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令和6年固都税清算金：79,266円</t>
        </r>
      </text>
    </comment>
    <comment ref="U9" authorId="2" shapeId="0" xr:uid="{9C435570-0094-48FF-803A-F971F40ABC17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令和7年固都税：174,651円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  <author>夏目 卓司</author>
  </authors>
  <commentList>
    <comment ref="M4" authorId="0" shapeId="0" xr:uid="{B736C53B-747C-43F3-8262-9490EB820F2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9/9取得、入居者継続：22日分賃料
</t>
        </r>
      </text>
    </comment>
    <comment ref="N4" authorId="0" shapeId="0" xr:uid="{FD54ABC7-19D2-4C98-947E-DE4CF8D9746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賃料：275,000円</t>
        </r>
      </text>
    </comment>
    <comment ref="A6" authorId="0" shapeId="0" xr:uid="{FB2F0078-4B12-4188-85A5-C98878AD917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A5120FF2-3562-473D-9445-2B56D26339D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Y7" authorId="1" shapeId="0" xr:uid="{94D47098-2ED7-4F2A-A40B-FE465BE0F9AB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管理費：14,500円
修繕積立金：14,520円
CATV使用料：308円
ｲﾝﾀｰﾈｯﾄ：990円</t>
        </r>
      </text>
    </comment>
    <comment ref="N8" authorId="0" shapeId="0" xr:uid="{F4729C16-7EC2-4806-ADDB-72E4A1BD19F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定率管理委任報酬：6,050円</t>
        </r>
      </text>
    </comment>
    <comment ref="C9" authorId="2" shapeId="0" xr:uid="{EA4B9389-B582-458C-9C2B-7D2DD0ADEE1D}">
      <text>
        <r>
          <rPr>
            <sz val="9"/>
            <color indexed="81"/>
            <rFont val="MS P ゴシック"/>
            <family val="3"/>
            <charset val="128"/>
          </rPr>
          <t>仲介手数料：3,232,278円
登記費用：492,012円</t>
        </r>
      </text>
    </comment>
    <comment ref="M9" authorId="2" shapeId="0" xr:uid="{14CCC537-8303-4A63-9FFF-7B3F6E47BBC3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令和6年固都税清算金：57,202円</t>
        </r>
      </text>
    </comment>
    <comment ref="U9" authorId="2" shapeId="0" xr:uid="{25BBA1AB-F306-4509-817F-C793CEBE6EA5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令和7年固都税：171,141円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  <author>夏目 卓司</author>
  </authors>
  <commentList>
    <comment ref="A6" authorId="0" shapeId="0" xr:uid="{07842940-FF7E-4CE2-871B-225094B6067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06B6CF9D-8753-44A1-9C4D-007BB9D6D35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Q7" authorId="0" shapeId="0" xr:uid="{B5DA6021-16AD-4267-B6E8-58FFA30D9BA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管理費：41,110円
修繕積立金：14,460円
その他：27,981円
その他詳細：インターネット利用料・共視聴設備利用料・賃料・解体準備金
</t>
        </r>
        <r>
          <rPr>
            <u/>
            <sz val="9"/>
            <color indexed="81"/>
            <rFont val="MS P ゴシック"/>
            <family val="3"/>
            <charset val="128"/>
          </rPr>
          <t>1月日割り分　70,075円＝26日/31日</t>
        </r>
      </text>
    </comment>
    <comment ref="R7" authorId="0" shapeId="0" xr:uid="{D742FD52-A894-444A-84D0-AE31109CE74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管理費：41,110円
修繕積立金：14,460円
その他：27,981円
その他詳細：インターネット利用料・共視聴設備利用料・賃料・解体準備金</t>
        </r>
      </text>
    </comment>
    <comment ref="Y7" authorId="1" shapeId="0" xr:uid="{5D3EE9B1-5ACD-44F0-A224-72B85F7B1A65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管理費：41,110円
修繕積立金：14,460円
ｲﾝﾀｰﾈｯﾄ利用料：1,705円
共視聴設備利用料：660円
解体準備金：19,913円
地代：5,703円</t>
        </r>
      </text>
    </comment>
    <comment ref="C9" authorId="2" shapeId="0" xr:uid="{E6C23DCC-CE55-4F46-A7C4-B50574A8A577}">
      <text>
        <r>
          <rPr>
            <sz val="9"/>
            <color indexed="81"/>
            <rFont val="MS P ゴシック"/>
            <family val="3"/>
            <charset val="128"/>
          </rPr>
          <t xml:space="preserve">保証金返還請求権引継対価：51,246,011円
管理費等清算金：153,626円
</t>
        </r>
        <r>
          <rPr>
            <sz val="9"/>
            <color indexed="81"/>
            <rFont val="MS P ゴシック"/>
            <family val="3"/>
            <charset val="128"/>
          </rPr>
          <t xml:space="preserve">仲介手数料：3,060,791円
登記費用：720,874円
</t>
        </r>
      </text>
    </comment>
    <comment ref="Q9" authorId="0" shapeId="0" xr:uid="{4D4E43F3-E317-489A-81DE-BDC8B768539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電気代1/9～1/17：377円
令和7年固都税清算金：1,782円（受領）</t>
        </r>
      </text>
    </comment>
    <comment ref="R9" authorId="0" shapeId="0" xr:uid="{EDB8E47A-6010-48C9-91DF-4E679219CD8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電気代1/18～2/17：1,343円
水道代1/7～1/21：875円</t>
        </r>
      </text>
    </comment>
    <comment ref="S9" authorId="0" shapeId="0" xr:uid="{D81CBF0C-BDB0-426E-9D13-24A52B256B0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電気代2/18～3/17：1,294円</t>
        </r>
      </text>
    </comment>
    <comment ref="T9" authorId="0" shapeId="0" xr:uid="{0800D281-DD71-4132-8220-4440AA705F6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電気代3/18～4/16：2,127円
水道代1/22～3/19：3,806円</t>
        </r>
      </text>
    </comment>
    <comment ref="U9" authorId="0" shapeId="0" xr:uid="{A8FE2DE3-0284-498D-B535-47EE1D766F7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水道代3/20～5/20：3,806円
電気代4/17～5/19：2,267円
令和7年固都税：130,057円</t>
        </r>
      </text>
    </comment>
    <comment ref="V9" authorId="0" shapeId="0" xr:uid="{465B827A-3A06-419D-91C0-F7DF275AE33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電気代5/20～6/16：1,766円</t>
        </r>
      </text>
    </comment>
    <comment ref="W9" authorId="0" shapeId="0" xr:uid="{1A5C51EE-3D62-49E7-B168-F674DD4A732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電気代6/17～7/16：1,380円
水道代5/21～7/18：1,232円</t>
        </r>
      </text>
    </comment>
    <comment ref="Y9" authorId="0" shapeId="0" xr:uid="{48961105-4835-4918-A487-6E4A8DC75C2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水道代7/19～8/25：924円
電気代7/17～8/18：1,540円
電気代8/19～8/21：223円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A6" authorId="0" shapeId="0" xr:uid="{55E4E1EC-2E5B-4ED5-A43A-772299A5324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7" authorId="0" shapeId="0" xr:uid="{16D6D3ED-9BC2-4D4E-A15A-92FA1600FD8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管理費：31,830円
インターネット：1,188円
修繕積立金：12,550円</t>
        </r>
      </text>
    </comment>
    <comment ref="AF7" authorId="0" shapeId="0" xr:uid="{C7C77C75-8BF4-4340-8C00-10C931969FE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管理費：31,830円
インターネット：1,188円
修繕積立金：12,550円</t>
        </r>
      </text>
    </comment>
    <comment ref="C9" authorId="0" shapeId="0" xr:uid="{D7749FAA-B3E0-4BB7-8C3C-C8E8F2842AD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固定資産税清算金：173,887円
管理費等清算金：104,365円
仲介手数料：4,514,400円
登記費用：502,463円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夏目 卓司</author>
    <author>佐々木 由喜</author>
  </authors>
  <commentList>
    <comment ref="A6" authorId="0" shapeId="0" xr:uid="{12EF8323-3CE1-4EFC-9A8B-5726D1824E0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S7" authorId="1" shapeId="0" xr:uid="{6B1056C0-443D-48D2-9C46-5B0E5CE5BF32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管理費等清算金：
3月分：19,311円
4月分：74,830円
5月分：74,830円</t>
        </r>
      </text>
    </comment>
    <comment ref="Y7" authorId="2" shapeId="0" xr:uid="{CF4410B0-5F6B-4217-966D-F75A01D35B9C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全体管理費：26,250円
全体修繕積立金：2,980円
解体積立金：1,400円
地代：11,530円
棟別管理費：12,680円
棟別修繕積立金：22,370円</t>
        </r>
      </text>
    </comment>
    <comment ref="C9" authorId="0" shapeId="0" xr:uid="{1DBAC375-918B-48B5-A2A0-3FE12D4437F5}">
      <text>
        <r>
          <rPr>
            <sz val="9"/>
            <color indexed="81"/>
            <rFont val="MS P ゴシック"/>
            <family val="3"/>
            <charset val="128"/>
          </rPr>
          <t>仲介手数料：4,811,400円
登記費用：661,074円</t>
        </r>
      </text>
    </comment>
    <comment ref="S9" authorId="1" shapeId="0" xr:uid="{69EA0FD4-C279-4919-8DAE-D1C52C1282C7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令和7年固都税清算金：182,312円</t>
        </r>
      </text>
    </comment>
    <comment ref="T9" authorId="0" shapeId="0" xr:uid="{F1A9C070-3641-4E4F-8A34-72D170A9C97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水道代3/24～4/9：1,321円
電気代4月分：1,775円</t>
        </r>
      </text>
    </comment>
    <comment ref="U9" authorId="0" shapeId="0" xr:uid="{D2912F57-4A09-419C-B21D-3E08A13724B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電気代4/16～5/15：365円
ガス代4/9～5/12：759円</t>
        </r>
      </text>
    </comment>
    <comment ref="V9" authorId="0" shapeId="0" xr:uid="{056D602F-9094-4FC4-8C0C-79D6F702704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水道代4/10～6/10：3,806円
電気代5/16～6/15：914円
ガス代5/13～6/9：759円</t>
        </r>
      </text>
    </comment>
    <comment ref="W9" authorId="0" shapeId="0" xr:uid="{E9F8F579-9DA3-405F-9422-BF6B50A0D28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電気代6/16～7/15：3,898円
ガス代6/10～7/8：759円</t>
        </r>
      </text>
    </comment>
    <comment ref="Y9" authorId="0" shapeId="0" xr:uid="{5545CAEE-C64E-459F-9DA0-B6327297593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水道代6/11～8/12：1,232円
電気代7/16～8/15：3,209円
ガス代7/9～8/11：896円</t>
        </r>
      </text>
    </comment>
    <comment ref="Z9" authorId="0" shapeId="0" xr:uid="{C18EEB9C-459F-46CD-829B-F59745AFE94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電気代8/16～9/15：2,818円
ガス代8/12～9/8：892円</t>
        </r>
      </text>
    </comment>
    <comment ref="AA9" authorId="0" shapeId="0" xr:uid="{BCFD4BB3-80AE-4803-86FC-30F8294CFC6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水道代8/13～10/9：1,232円
電気代9/16～10/15：3,118円
ガス代9/9～10/8：759円</t>
        </r>
      </text>
    </comment>
    <comment ref="AB9" authorId="0" shapeId="0" xr:uid="{766266C2-421E-48E0-98ED-2752B7A3D35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電気代10/16～11/15：3,910円
ガス代10/9～11/10：759円</t>
        </r>
      </text>
    </comment>
    <comment ref="AC9" authorId="0" shapeId="0" xr:uid="{D1C8A441-E2D4-4F8D-A124-8AF9CE5609C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水道代10/10～12/9：3,806円
電気代11/16～12/15：3,932円
ガス代11/11～12/8：759円</t>
        </r>
      </text>
    </comment>
    <comment ref="AD9" authorId="0" shapeId="0" xr:uid="{AF9B370A-14EE-4D9D-BEF5-38D86B6AC38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電気代12/16～1/15：3,382円
ガス代12/9～1/12：899円</t>
        </r>
      </text>
    </comment>
    <comment ref="AE9" authorId="0" shapeId="0" xr:uid="{41E3A421-BE27-439A-AAB0-0EA00334AEA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水道代12/10～2/10：3,806円
電気代1/16～2/15：2,952円
ガス代1/13～2/8：759円</t>
        </r>
      </text>
    </comment>
    <comment ref="AF9" authorId="0" shapeId="0" xr:uid="{A4D8DF5E-6401-4CAB-B5E0-A585631BA56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電気代2/16～3/15 2,830円
ガス代2/9～3/12：881円</t>
        </r>
      </text>
    </comment>
    <comment ref="AG9" authorId="0" shapeId="0" xr:uid="{53AC6A67-5B2B-40D0-8249-4DCE1771C0A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水道代2/11～4/9：3,806円
電気代3/16～4/15：3,482円
ガス代3/11～4/8：759円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</authors>
  <commentList>
    <comment ref="A6" authorId="0" shapeId="0" xr:uid="{5267D317-F5D6-4935-BC4F-DABE33A5C09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AA9" authorId="0" shapeId="0" xr:uid="{48E6331D-4C27-4F91-9C5C-4C93C9DDA45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電気代2025年10月3日～27日：6,787円</t>
        </r>
      </text>
    </comment>
    <comment ref="AB9" authorId="0" shapeId="0" xr:uid="{8989A394-338F-49E1-AA73-CA9E14458C8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電気代2025年10月28日～11月26日：7,925円</t>
        </r>
      </text>
    </comment>
    <comment ref="AC9" authorId="0" shapeId="0" xr:uid="{E5518235-62DF-4755-9278-117B24D877E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電気代2025年11月27日～12月24日：7,898円</t>
        </r>
      </text>
    </comment>
    <comment ref="AD9" authorId="0" shapeId="0" xr:uid="{891DD932-3E4E-41A0-94B6-0060F3815C6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電気代2025年12月25日～1月27日：8,028円</t>
        </r>
      </text>
    </comment>
    <comment ref="AE9" authorId="0" shapeId="0" xr:uid="{B83EAFE9-87D6-437E-839A-34C80E1A5A0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電気代2026年1月28日～2月25日：7,934円
</t>
        </r>
      </text>
    </comment>
    <comment ref="AF9" authorId="1" shapeId="0" xr:uid="{7046ACFE-B668-4A69-9721-27D34435C780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不動産取得税</t>
        </r>
      </text>
    </comment>
    <comment ref="AG9" authorId="0" shapeId="0" xr:uid="{2D308225-2529-4547-9D9F-668EE2E9975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電気代2026年3月27日～4月27日：7,953円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  <author>夏目 卓司</author>
  </authors>
  <commentList>
    <comment ref="R4" authorId="0" shapeId="0" xr:uid="{CE3E3E40-D120-49A0-9806-81A3D6FB1DA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2/1入居
2月分賃料・共益費：221,000円
2月分駐車場費：8,800円
2月分駐輪場：100円
礼金：211,000円
駐車場礼金：8,800円
</t>
        </r>
      </text>
    </comment>
    <comment ref="S4" authorId="0" shapeId="0" xr:uid="{36149FE3-C5F5-49A6-ADBC-8F42C5855B0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3月分賃料・共益費：221,000円
3月分駐車場費：8,800円
3月分駐輪場：100円
</t>
        </r>
      </text>
    </comment>
    <comment ref="Y4" authorId="1" shapeId="0" xr:uid="{36DC41B2-554D-4BCC-B874-4DFDE9F4A6E7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賃料:211,000円
共益費：10,000円
駐車場費：8,800円
駐輪場：100円</t>
        </r>
      </text>
    </comment>
    <comment ref="AE4" authorId="1" shapeId="0" xr:uid="{82926E23-DE99-4A49-A330-C1081E7A9B84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賃料:211,000円
共益費：10,000円
駐車場費：8,800円
駐輪場：100円</t>
        </r>
      </text>
    </comment>
    <comment ref="AF4" authorId="1" shapeId="0" xr:uid="{970E9915-7679-40D3-81DE-5F05EC780DE5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賃料:211,000円
共益費：10,000円
駐車場費：8,800円
駐輪場：100円</t>
        </r>
      </text>
    </comment>
    <comment ref="AG4" authorId="1" shapeId="0" xr:uid="{5DF3A058-B0C4-4B44-9E71-7128FFF52512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賃料:211,000円
共益費：10,000円
駐車場費：8,800円
駐輪場：100円</t>
        </r>
      </text>
    </comment>
    <comment ref="A6" authorId="0" shapeId="0" xr:uid="{01CD0B63-C4A6-4EB2-A9B1-9DFE8C1725C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E55B0A53-6A40-4B1F-887E-EDCA9E9E19E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R8" authorId="0" shapeId="0" xr:uid="{2F1CF462-F1D1-4094-BF2F-E3245CD6B30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賃料共益費：4,862円
駐車場：175円
駐輪場：1円</t>
        </r>
      </text>
    </comment>
    <comment ref="Y8" authorId="0" shapeId="0" xr:uid="{FA34158B-CF2C-42F6-ACB1-8FB2F16ED0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賃料共益費：4,862円
駐車場：175円
駐輪場：1円</t>
        </r>
      </text>
    </comment>
    <comment ref="AE8" authorId="0" shapeId="0" xr:uid="{204C0043-9A61-476D-B662-DFEAA7BED2B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賃料共益費：4,862円
駐車場：175円
駐輪場：1円</t>
        </r>
      </text>
    </comment>
    <comment ref="AF8" authorId="0" shapeId="0" xr:uid="{E8B90A81-40FA-49C7-8DDC-A1B990CD55C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賃料共益費：4,862円
駐車場：175円
駐輪場：1円</t>
        </r>
      </text>
    </comment>
    <comment ref="AG8" authorId="0" shapeId="0" xr:uid="{4C90AB41-AA04-42E5-AB88-11D4862A5AC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賃料共益費：4,862円
駐車場：175円
駐輪場：1円</t>
        </r>
      </text>
    </comment>
    <comment ref="C9" authorId="2" shapeId="0" xr:uid="{2A04DD80-91E0-4A13-96F2-6E47732F70EF}">
      <text>
        <r>
          <rPr>
            <sz val="9"/>
            <color indexed="81"/>
            <rFont val="MS P ゴシック"/>
            <family val="3"/>
            <charset val="128"/>
          </rPr>
          <t>登記費用概算金：330,000円
管理費準備金：26,000円
修繕積立一時金：365,000円</t>
        </r>
      </text>
    </comment>
    <comment ref="G9" authorId="0" shapeId="0" xr:uid="{69A31508-8195-4095-A1D0-4C5FA53F67E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食洗器設置：146,000円
令和6年固都税概算金：70,000円</t>
        </r>
      </text>
    </comment>
    <comment ref="H9" authorId="0" shapeId="0" xr:uid="{CCC3E655-6D4B-437B-80FF-11A45A9FB33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エアコン設置：162,800円</t>
        </r>
      </text>
    </comment>
    <comment ref="Q9" authorId="0" shapeId="0" xr:uid="{A98209A7-A156-43A3-809F-562BDE3BEE6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仲介手数料：232,100円</t>
        </r>
      </text>
    </comment>
    <comment ref="U9" authorId="2" shapeId="0" xr:uid="{26000E08-99B7-41A9-AEEB-FF94A2C41DE9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令和7年固都税：89,648円</t>
        </r>
      </text>
    </comment>
    <comment ref="W16" authorId="0" shapeId="0" xr:uid="{29878431-CFC5-4DF7-9317-A68C9C45E29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Ⅱ街区管理費：1,600円
団地管理費：11,300円
Ⅱ街区修繕積立金：6,560円
団地修繕積立金：6,560円
駐車場使用料：8,800円
インターネット使用料：1,650円
コミュニティクラブ会費：450円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  <author>夏目 卓司</author>
  </authors>
  <commentList>
    <comment ref="J4" authorId="0" shapeId="0" xr:uid="{6506F873-4D87-42C4-A275-6D07F90D51E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入居日7/20
12日分賃料・共益費：85,934円
礼金：424,000円
12日分駐車場代：3,167円
駐車場礼金：8,182円
駐車場代・礼金消費税：1,135円</t>
        </r>
      </text>
    </comment>
    <comment ref="L4" authorId="0" shapeId="0" xr:uid="{DE5318D9-54BE-4E43-A63F-4A757F87653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賃料・共益費：222,000円
駐車場：9,000円</t>
        </r>
      </text>
    </comment>
    <comment ref="Y4" authorId="1" shapeId="0" xr:uid="{589A4F62-A209-4CF8-A7FD-24D3B4D0586F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賃料：212,000円
共益費：10,0000円
駐車場：9,000円</t>
        </r>
      </text>
    </comment>
    <comment ref="AE4" authorId="1" shapeId="0" xr:uid="{FADA9A2C-7F3F-42A4-AE92-C4931A4B8F18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賃料：212,000円
共益費：10,0000円
駐車場：9,000円</t>
        </r>
      </text>
    </comment>
    <comment ref="AF4" authorId="1" shapeId="0" xr:uid="{65F08D36-8C8E-4A99-9CED-C273E9DFC107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賃料：212,000円
共益費：10,0000円
駐車場：9,000円</t>
        </r>
      </text>
    </comment>
    <comment ref="AG4" authorId="1" shapeId="0" xr:uid="{F7F163E6-5AC5-4420-8CD8-61A76CDE2DE8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賃料：212,000円
共益費：10,0000円
駐車場：9,000円</t>
        </r>
      </text>
    </comment>
    <comment ref="A6" authorId="0" shapeId="0" xr:uid="{1BE143A2-3227-4F23-BD99-4A7C9840636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92B05A43-2F15-4BA5-8D18-AC473149B46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L8" authorId="0" shapeId="0" xr:uid="{54C4F503-7064-461A-80DE-E294F10E5A7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
6,774円
（7月：1,890円、8月：4,884円）
駐車場
249円
（7月：69円、8月：180円）</t>
        </r>
      </text>
    </comment>
    <comment ref="M8" authorId="0" shapeId="0" xr:uid="{05040930-97AE-4B16-93CE-E53CA057DAF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賃料共益費：4,884円
駐車場：180円</t>
        </r>
      </text>
    </comment>
    <comment ref="N8" authorId="0" shapeId="0" xr:uid="{683679AD-A120-4874-B445-873BE9B920E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賃料共益費：4,884円
駐車場：179円</t>
        </r>
      </text>
    </comment>
    <comment ref="O8" authorId="0" shapeId="0" xr:uid="{C05B5374-55D1-4652-AB31-14874FD9B52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賃料共益費：4,884円
駐車場：180円</t>
        </r>
      </text>
    </comment>
    <comment ref="P8" authorId="0" shapeId="0" xr:uid="{F01E03E8-8952-469E-9414-D8136A7D0A0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賃料共益費：4,884円
駐車場：180円</t>
        </r>
      </text>
    </comment>
    <comment ref="Q8" authorId="0" shapeId="0" xr:uid="{3D4D1EB2-32D7-45FB-8945-D5C242C79BF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賃料共益費：4,884円
駐車場：179円</t>
        </r>
      </text>
    </comment>
    <comment ref="R8" authorId="0" shapeId="0" xr:uid="{960D49B3-2274-423A-B5A8-508A8458AE5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賃料共益費：4,884円
駐車場：180円</t>
        </r>
      </text>
    </comment>
    <comment ref="Y8" authorId="0" shapeId="0" xr:uid="{E63B1454-6FF0-4CF2-AF69-7EA993B19CD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賃料共益費：4,884円
駐車場：180円</t>
        </r>
      </text>
    </comment>
    <comment ref="AE8" authorId="0" shapeId="0" xr:uid="{7FF4434E-92F6-4205-9D5D-B2552C0CD01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賃料共益費：4,884円
駐車場：180円</t>
        </r>
      </text>
    </comment>
    <comment ref="AF8" authorId="0" shapeId="0" xr:uid="{63CB24C4-26BA-4E7E-8320-ABAB30116C6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賃料共益費：4,884円
駐車場：180円</t>
        </r>
      </text>
    </comment>
    <comment ref="AG8" authorId="0" shapeId="0" xr:uid="{3DEC4076-2B0C-4CAF-8793-AA6CDE37E09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賃料共益費：4,884円
駐車場：180円</t>
        </r>
      </text>
    </comment>
    <comment ref="C9" authorId="2" shapeId="0" xr:uid="{384982E0-4C53-480B-965E-E95AA7BB8542}">
      <text>
        <r>
          <rPr>
            <sz val="9"/>
            <color indexed="81"/>
            <rFont val="MS P ゴシック"/>
            <family val="3"/>
            <charset val="128"/>
          </rPr>
          <t>登記費用概算金：330,000円
管理準備金：26,000円
修繕積立一時金：365,000円</t>
        </r>
      </text>
    </comment>
    <comment ref="G9" authorId="0" shapeId="0" xr:uid="{E0BA50C3-BDC0-4167-9F4C-A43CD5B72DF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食洗器設置：146,000円
固都税概算金：70,000円</t>
        </r>
      </text>
    </comment>
    <comment ref="H9" authorId="0" shapeId="0" xr:uid="{705BC51C-F961-46E8-94FF-BF16FE589B9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エアコン設置：162,800円</t>
        </r>
      </text>
    </comment>
    <comment ref="J9" authorId="0" shapeId="0" xr:uid="{143F0D90-6075-4DB0-8026-B156399D980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仲介手数料：233,200円</t>
        </r>
      </text>
    </comment>
    <comment ref="U9" authorId="2" shapeId="0" xr:uid="{E3E87C9E-8BDB-4189-920F-A15F461341EC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令和7年固都税：89,648円</t>
        </r>
      </text>
    </comment>
    <comment ref="W15" authorId="0" shapeId="0" xr:uid="{B17DAF44-78EE-476F-8BA4-FB5725A66F2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Ⅱ街区管理費：1,600円
団地管理費：11,300円
Ⅱ街区修繕積立金：6,560円
団地修繕積立金：210円
駐車場使用料：8,800円
インターネット使用料：1,650円
コミュニティクラブ会費：450円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  <author>夏目 卓司</author>
  </authors>
  <commentList>
    <comment ref="P4" authorId="0" shapeId="0" xr:uid="{91D48597-085D-4BF0-B6CA-AEACCEEABE5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礼金：215,000円　12/26入居
12月日割賃料6日分：43,547円
(215,000＋10,000)÷31日×6日
駐車場礼金：8,800円　12/26入居
12月日割駐車場代6日分：1,702円(税込)
(215,000＋10,000)÷31日×6日＝1,548円</t>
        </r>
      </text>
    </comment>
    <comment ref="Q4" authorId="0" shapeId="0" xr:uid="{D9624186-78D3-4B1C-B7B9-39B08877A5A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賃料・共益費：225,000円
駐車場代：8,800円</t>
        </r>
      </text>
    </comment>
    <comment ref="Y4" authorId="1" shapeId="0" xr:uid="{3EF8D253-8661-4564-B5A4-5D54CD7A7891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賃料：215,000円
共益費：10,000円
駐車場：8,800円</t>
        </r>
      </text>
    </comment>
    <comment ref="AE4" authorId="1" shapeId="0" xr:uid="{DD9217D7-A223-4E17-9B55-6BA2A618330E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賃料：215,000円
共益費：10,000円
駐車場：8,800円</t>
        </r>
      </text>
    </comment>
    <comment ref="AF4" authorId="1" shapeId="0" xr:uid="{84DE07E8-F294-48FB-91E0-CA45B3A13777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賃料：215,000円
共益費：10,000円
駐車場：8,800円</t>
        </r>
      </text>
    </comment>
    <comment ref="AG4" authorId="1" shapeId="0" xr:uid="{D445B727-7892-457A-902A-B62DC87D69C7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賃料：215,000円
共益費：10,000円
駐車場：8,800円</t>
        </r>
      </text>
    </comment>
    <comment ref="A6" authorId="0" shapeId="0" xr:uid="{3DC9BDD6-D710-44AB-A7B3-C21FC77C5F4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10F7D9AB-DC4C-46B1-9848-F5CBD8453CB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P8" authorId="0" shapeId="0" xr:uid="{28A85EBE-E5C3-45B8-A373-AC8BCC65D5F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賃料：958円(税込)
43,547円×2％＝871円
駐車場：34円(税込)
1,548円×2％＝31円</t>
        </r>
      </text>
    </comment>
    <comment ref="Q8" authorId="0" shapeId="0" xr:uid="{8DDEE2D6-77B9-42D9-B81D-321AA811372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賃料：4,950円
駐車場：176円
</t>
        </r>
      </text>
    </comment>
    <comment ref="Y8" authorId="0" shapeId="0" xr:uid="{25AFE10E-28D9-4757-AA8D-BA4013C7F97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賃料：4,950円
駐車場：176円
</t>
        </r>
      </text>
    </comment>
    <comment ref="AE8" authorId="0" shapeId="0" xr:uid="{58A0FDDB-89D2-4344-8264-2BFB666350D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賃料：4,950円
駐車場：176円
</t>
        </r>
      </text>
    </comment>
    <comment ref="AF8" authorId="0" shapeId="0" xr:uid="{66A4D0C9-EF1F-4A40-9CE4-B4C0AEC086F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賃料：4,950円
駐車場：176円
</t>
        </r>
      </text>
    </comment>
    <comment ref="C9" authorId="2" shapeId="0" xr:uid="{1E76AC4C-59C3-4985-8184-A122CA3848B5}">
      <text>
        <r>
          <rPr>
            <sz val="9"/>
            <color indexed="81"/>
            <rFont val="MS P ゴシック"/>
            <family val="3"/>
            <charset val="128"/>
          </rPr>
          <t>登記費用概算金：330,000円
管理準備金：26,000円
修繕積立一時金：365,000円</t>
        </r>
      </text>
    </comment>
    <comment ref="G9" authorId="0" shapeId="0" xr:uid="{12DBA282-29DD-44AA-8C0F-B25A91CCF8D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食洗器設置：146,000円
固都税概算金：70,000円</t>
        </r>
      </text>
    </comment>
    <comment ref="H9" authorId="0" shapeId="0" xr:uid="{19D8DE80-4CA7-4D7C-B33C-455AF76CADF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エアコン設置：162,800円</t>
        </r>
      </text>
    </comment>
    <comment ref="P9" authorId="0" shapeId="0" xr:uid="{0A89D9E3-2FE4-416C-A0DC-ACBEA19D362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仲介手数料：236,500円</t>
        </r>
      </text>
    </comment>
    <comment ref="U9" authorId="2" shapeId="0" xr:uid="{C0044148-4B40-42B0-9EAB-079A95D2F4EE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令和7年固都税：89,648円</t>
        </r>
      </text>
    </comment>
    <comment ref="W15" authorId="0" shapeId="0" xr:uid="{7B0F1DAE-6283-403E-A40F-39FEBFD098C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Ⅱ街区管理費：1,600円
団地管理費：11,300円
Ⅱ街区修繕積立金：6,560円
団地修繕積立金：210円
駐車場使用料：8,800円
インターネット使用料：1,650円
コミュニティクラブ会費：450円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  <author>夏目 卓司</author>
  </authors>
  <commentList>
    <comment ref="J4" authorId="0" shapeId="0" xr:uid="{2B4AC688-6A51-4011-8FF2-A465A4089A0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7/20入居
12日分賃料・共益費：87,482円
礼金：432,000円
駐車場：182円
消費税：18円</t>
        </r>
      </text>
    </comment>
    <comment ref="L4" authorId="0" shapeId="0" xr:uid="{EF207581-1D43-4A56-B95C-305DBAA67E2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賃料共益費：226,000円
駐輪場：200円</t>
        </r>
      </text>
    </comment>
    <comment ref="Y4" authorId="1" shapeId="0" xr:uid="{8EA20E8E-F66A-4167-81DA-4E604C6065F8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賃料：216,000円
共益費：10,000円
駐輪場：200円</t>
        </r>
      </text>
    </comment>
    <comment ref="AE4" authorId="1" shapeId="0" xr:uid="{3E393938-C803-4D1C-A98B-7BE458668F4A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賃料：216,000円
共益費：10,000円
駐輪場：200円</t>
        </r>
      </text>
    </comment>
    <comment ref="AF4" authorId="1" shapeId="0" xr:uid="{6B5629D7-EDB9-4737-8EEF-82F5E38E2C31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賃料：216,000円
共益費：10,000円
駐輪場：200円</t>
        </r>
      </text>
    </comment>
    <comment ref="AG4" authorId="1" shapeId="0" xr:uid="{9401B5BC-D75C-4329-BC7D-1D92CAD839CB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賃料：222,000円
共益費：10,000円
駐輪場：200円
礼金：222,000円</t>
        </r>
      </text>
    </comment>
    <comment ref="A6" authorId="0" shapeId="0" xr:uid="{642DB5E8-2529-46E3-85E7-E5AF571D39E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17C7D245-5AE6-4130-9C4E-58331BF76C8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L8" authorId="0" shapeId="0" xr:uid="{C2222B21-DED8-4BFD-83BB-ED02B7FBEF4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7/20入居
7月12日分＋8月定率管理委任報酬
賃料共益費：6,896円
駐輪場：8円</t>
        </r>
      </text>
    </comment>
    <comment ref="M8" authorId="0" shapeId="0" xr:uid="{674DC355-8553-49BB-9BBB-37517102FA4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賃料共益費：4,972円
駐輪場：4円</t>
        </r>
      </text>
    </comment>
    <comment ref="N8" authorId="0" shapeId="0" xr:uid="{D039B0E9-E157-455A-B516-89BF45509D8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賃料共益費：4,972円
駐輪場：3円</t>
        </r>
      </text>
    </comment>
    <comment ref="O8" authorId="0" shapeId="0" xr:uid="{9913AEDC-CFAE-4DC0-8489-F59E21E4C6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賃料共益費：4,972円
駐輪場：3円</t>
        </r>
      </text>
    </comment>
    <comment ref="P8" authorId="0" shapeId="0" xr:uid="{F6AA7A0F-D43D-4E08-AE7B-AF82AE779E8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賃料共益費：4,972円
駐輪場：4円</t>
        </r>
      </text>
    </comment>
    <comment ref="Q8" authorId="0" shapeId="0" xr:uid="{9587E3D5-4523-4C0D-8E02-CA15FF57D41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賃料共益費：4,972円
駐輪場：3円</t>
        </r>
      </text>
    </comment>
    <comment ref="R8" authorId="0" shapeId="0" xr:uid="{2AD164E3-B147-415F-9D09-062819BBD55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賃料共益費：4,972円
駐輪場：4円</t>
        </r>
      </text>
    </comment>
    <comment ref="Y8" authorId="0" shapeId="0" xr:uid="{3A20FB39-BE36-4177-B843-2FC38A2FE54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賃料共益費：4,972円
駐輪場：4円</t>
        </r>
      </text>
    </comment>
    <comment ref="AE8" authorId="0" shapeId="0" xr:uid="{EB291874-1A0A-438C-BE82-B1BDEED938E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賃料共益費：4,972円
駐輪場：4円</t>
        </r>
      </text>
    </comment>
    <comment ref="AF8" authorId="0" shapeId="0" xr:uid="{6C324ED7-12EB-4792-88CD-61645E45A20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賃料共益費：4,972円
駐輪場：4円</t>
        </r>
      </text>
    </comment>
    <comment ref="AG8" authorId="0" shapeId="0" xr:uid="{14A1B14D-305A-4767-966D-FE3AB07DB8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賃料共益費：5,104円
駐輪場：4円
</t>
        </r>
      </text>
    </comment>
    <comment ref="C9" authorId="2" shapeId="0" xr:uid="{5C338D8D-922E-4760-8F53-3C8D8C3AC439}">
      <text>
        <r>
          <rPr>
            <sz val="9"/>
            <color indexed="81"/>
            <rFont val="MS P ゴシック"/>
            <family val="3"/>
            <charset val="128"/>
          </rPr>
          <t>登記費用概算金：330,000円
管理準備金：26,000円
修繕積立一時金：365,000円</t>
        </r>
      </text>
    </comment>
    <comment ref="G9" authorId="0" shapeId="0" xr:uid="{8FC3E59E-0920-475E-A131-76EC7D7CAC8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食洗器設置：146,000円
固都税概算金：70,000円</t>
        </r>
      </text>
    </comment>
    <comment ref="H9" authorId="0" shapeId="0" xr:uid="{0ACE2139-FB90-48E0-B6F1-D75CE74C91D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エアコン設置：162,800円</t>
        </r>
      </text>
    </comment>
    <comment ref="J9" authorId="0" shapeId="0" xr:uid="{3BD1D547-BA1B-4C63-A4B7-7DF1C698C0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仲介手数料：237,600円</t>
        </r>
      </text>
    </comment>
    <comment ref="U9" authorId="2" shapeId="0" xr:uid="{4AF81063-6660-4540-9E9E-57C4A2D6B16A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令和7年固都税：89,648円</t>
        </r>
      </text>
    </comment>
    <comment ref="W16" authorId="0" shapeId="0" xr:uid="{EF04BBDB-E54C-444A-B5D1-4997A80D358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Ⅱ街区管理費：1,600円
団地管理費：11,300円
Ⅱ街区修繕積立金：6,560円
団地修繕積立金：210円
インターネット使用料：1,650円
コミュニティクラブ会費：450円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  <author>夏目 卓司</author>
  </authors>
  <commentList>
    <comment ref="J4" authorId="0" shapeId="0" xr:uid="{CAE12B78-D8B9-428B-BF46-76E1D5AE0F9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7/21入居
11日分賃料・共益費：65,289円
礼金：174,000円
11日分駐車場費：3,193円
礼金：9,000円</t>
        </r>
      </text>
    </comment>
    <comment ref="L4" authorId="0" shapeId="0" xr:uid="{3E10FC5E-CCE5-4981-B359-B6C1980A663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賃料共益費：184,000円
駐車場：9,000円</t>
        </r>
      </text>
    </comment>
    <comment ref="Y4" authorId="1" shapeId="0" xr:uid="{2AB6DEC3-8E64-4637-BB7E-BE31E9FAD5E2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 ：174,000円
共益費：10,000円
駐車場：9,000円</t>
        </r>
      </text>
    </comment>
    <comment ref="AE4" authorId="1" shapeId="0" xr:uid="{AFE2BE9C-B0A2-4005-A4BA-E1954B337A03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 ：174,000円
共益費：10,000円
駐車場：9,000円</t>
        </r>
      </text>
    </comment>
    <comment ref="AF4" authorId="1" shapeId="0" xr:uid="{E6300431-D4AF-41AE-BE4D-D6CC94076773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 ：174,000円
共益費：10,000円
駐車場：9,000円</t>
        </r>
      </text>
    </comment>
    <comment ref="AG4" authorId="1" shapeId="0" xr:uid="{12877CE6-17B3-411B-938F-1FEB104F5F56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 ：174,000円
共益費：10,000円
駐車場：9,000円</t>
        </r>
      </text>
    </comment>
    <comment ref="A6" authorId="0" shapeId="0" xr:uid="{7A1C2521-92E4-4570-89FA-9F61C4209ED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C1E0BF53-206D-4E64-B188-74BED2B334D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J8" authorId="0" shapeId="0" xr:uid="{E8FA1777-3FC5-4E8F-BF3D-9CF9149AADF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7/21入居
定率管理委任報酬
11日賃料分：1,436円
11日駐車場分：63円</t>
        </r>
      </text>
    </comment>
    <comment ref="L8" authorId="0" shapeId="0" xr:uid="{02F0BF13-F784-4512-89E8-128B05B3A5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賃料共益費：4,048円
駐車場：180円</t>
        </r>
      </text>
    </comment>
    <comment ref="M8" authorId="0" shapeId="0" xr:uid="{DD719A30-B9D1-41C3-892D-34C8FEA62DC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賃料共益費：4,048円
駐車場：179円</t>
        </r>
      </text>
    </comment>
    <comment ref="N8" authorId="0" shapeId="0" xr:uid="{B3536331-EF8E-422E-BEE4-FCA6A2303DB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賃料共益費：4,048円
駐車場：180円</t>
        </r>
      </text>
    </comment>
    <comment ref="O8" authorId="0" shapeId="0" xr:uid="{46E2ABC3-61C7-4F0C-9DEF-67D6064AE0F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賃料共益費：4,048円
駐車場：180円</t>
        </r>
      </text>
    </comment>
    <comment ref="P8" authorId="0" shapeId="0" xr:uid="{D526B684-B021-404D-9A2B-246963420FE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賃料共益費：4,048円
駐車場：179円</t>
        </r>
      </text>
    </comment>
    <comment ref="Q8" authorId="0" shapeId="0" xr:uid="{42DD23DE-90B2-499E-A37A-73F9257B466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賃料共益費：4,048円
駐車場：180円</t>
        </r>
      </text>
    </comment>
    <comment ref="Y8" authorId="0" shapeId="0" xr:uid="{4E564951-DC43-410F-85A4-A50D504622E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賃料共益費：4,048円
駐車場：180円</t>
        </r>
      </text>
    </comment>
    <comment ref="AE8" authorId="0" shapeId="0" xr:uid="{10453097-3C0F-4192-AAF1-F3CF90410BE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賃料共益費：4,048円
駐車場：180円</t>
        </r>
      </text>
    </comment>
    <comment ref="AF8" authorId="0" shapeId="0" xr:uid="{7C50E3FA-DFFE-4970-9153-FF9383B5118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賃料共益費：4,048円
駐車場：180円</t>
        </r>
      </text>
    </comment>
    <comment ref="AG8" authorId="0" shapeId="0" xr:uid="{F2EA261D-6A18-45E9-8140-D418121D031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賃料共益費：4,048円
駐車場：180円</t>
        </r>
      </text>
    </comment>
    <comment ref="C9" authorId="2" shapeId="0" xr:uid="{4E15ACFA-27F0-44A4-9154-3E0DD8934495}">
      <text>
        <r>
          <rPr>
            <sz val="9"/>
            <color indexed="81"/>
            <rFont val="MS P ゴシック"/>
            <family val="3"/>
            <charset val="128"/>
          </rPr>
          <t>登記費用概算金：290,000円
管理準備金：21,000円
修繕積立一時金：297,000円</t>
        </r>
      </text>
    </comment>
    <comment ref="G9" authorId="0" shapeId="0" xr:uid="{3B5C3C0B-F662-429B-AFCF-0F2F505EF38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食洗器設置：146,000円
固都税概算金：60,000円</t>
        </r>
      </text>
    </comment>
    <comment ref="H9" authorId="0" shapeId="0" xr:uid="{F1FB202C-4574-4340-A4D7-14FD54EFA0F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エアコン設置：162,800円</t>
        </r>
      </text>
    </comment>
    <comment ref="J9" authorId="0" shapeId="0" xr:uid="{04C4167F-2B67-45CF-B034-111D91BC943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仲介手数料：191,400円</t>
        </r>
      </text>
    </comment>
    <comment ref="U9" authorId="2" shapeId="0" xr:uid="{1836E0B6-01BF-48D4-B98E-656C7035436A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令和7年固都税：72,393円</t>
        </r>
      </text>
    </comment>
    <comment ref="W15" authorId="0" shapeId="0" xr:uid="{E77B4176-84C3-4001-9AD2-3C282B65D3F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Ⅱ街区管理費：1,300円
団地管理費：9,300円
Ⅱ街区修繕積立金：5,350円
団地修繕積立金：170円
駐車場使用料：8,800円
インターネット使用料：1,650円
コミュニティクラブ会費：450円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佐々木 由喜</author>
    <author>前田 弥雪紀</author>
  </authors>
  <commentList>
    <comment ref="AC4" authorId="0" shapeId="0" xr:uid="{A504C106-3289-45C5-AC2A-40EE353C0E5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佐々木 由喜:
</t>
        </r>
        <r>
          <rPr>
            <sz val="9"/>
            <color indexed="81"/>
            <rFont val="MS P ゴシック"/>
            <family val="3"/>
            <charset val="128"/>
          </rPr>
          <t xml:space="preserve">賃料(11月) ：7,500円
共益費(11月)：333円
駐輪場(11月)：100円
礼金：225,000円
賃料(12月)：225,000円
共益費(12月)：10,000円
駐輪場(12月）：100円
</t>
        </r>
      </text>
    </comment>
    <comment ref="AD4" authorId="0" shapeId="0" xr:uid="{4A38A4E4-054F-4051-BB88-3B16A055C53E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賃料：225,000円
共益費：10,000円
駐輪場：100円</t>
        </r>
      </text>
    </comment>
    <comment ref="AE4" authorId="0" shapeId="0" xr:uid="{481D907A-0625-47A0-B8A6-DF50A7554224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賃料：225,000円
共益費：10,000円
駐輪場：100円</t>
        </r>
      </text>
    </comment>
    <comment ref="AF4" authorId="0" shapeId="0" xr:uid="{01852FCA-2879-4746-844A-2CE858FACD2B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賃料：225,000円
共益費：10,000円
駐輪場：100円</t>
        </r>
      </text>
    </comment>
    <comment ref="AG4" authorId="0" shapeId="0" xr:uid="{68CFA958-A2B7-4D9A-8988-8B10CD0B9212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賃料：225,000円
共益費：10,000円
駐輪場：100円</t>
        </r>
      </text>
    </comment>
    <comment ref="C7" authorId="0" shapeId="0" xr:uid="{66B5C9BC-3B03-4D68-AB92-95A5422D2B28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Ⅱ街区管理費：1,600円
団地管理費：11,700円
Ⅱ街区修繕積立金：6,760円
団地修繕積立金：220円
ｲﾝﾀｰﾈｯﾄ使用料：1,650円
ｺﾐｭﾆﾃｨｸﾗﾌﾞ会費：450円</t>
        </r>
      </text>
    </comment>
    <comment ref="AA7" authorId="0" shapeId="0" xr:uid="{F6FA673B-944A-4D5B-A4C4-CF2D40CCD14A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Ⅱ街区管理費：1,600円
団地管理費：11,700円
Ⅱ街区修繕積立金：6,760円
団地修繕積立金：220円
ｲﾝﾀｰﾈｯﾄ使用料：1,650円
ｺﾐｭﾆﾃｨｸﾗﾌﾞ会費：450円</t>
        </r>
      </text>
    </comment>
    <comment ref="AC8" authorId="0" shapeId="0" xr:uid="{7723FB27-BC27-42DC-B24E-9CAA33718250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賃料共益費(11月)：172円
駐輪場(11月)：2円
賃料共益費(12月)：5,170円
駐輪場(12月)：2円</t>
        </r>
      </text>
    </comment>
    <comment ref="AF8" authorId="1" shapeId="0" xr:uid="{9C28940F-0FA3-44E1-9EEB-BE4B5C83F9EB}">
      <text>
        <r>
          <rPr>
            <b/>
            <sz val="9"/>
            <color indexed="81"/>
            <rFont val="MS P ゴシック"/>
            <family val="3"/>
            <charset val="128"/>
          </rPr>
          <t>前田 弥雪紀: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賃料共益費：5,170円
駐車場：2円</t>
        </r>
      </text>
    </comment>
    <comment ref="AG8" authorId="1" shapeId="0" xr:uid="{C45FFB18-FC6F-4B14-81FF-931342E4883C}">
      <text>
        <r>
          <rPr>
            <b/>
            <sz val="9"/>
            <color indexed="81"/>
            <rFont val="MS P ゴシック"/>
            <family val="3"/>
            <charset val="128"/>
          </rPr>
          <t>前田 弥雪紀: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賃料共益費：5,170円
駐車場：2円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佐々木 由喜</author>
    <author>夏目 卓司</author>
  </authors>
  <commentList>
    <comment ref="J4" authorId="0" shapeId="0" xr:uid="{14C44FCA-47EF-4ADE-9B82-09ED27F4549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7/19入居
13日分賃料・共益費：77,580円
礼金：350,000円
駐輪場：200
駐車場：3,774円
駐車場礼金：9,000円</t>
        </r>
      </text>
    </comment>
    <comment ref="L4" authorId="0" shapeId="0" xr:uid="{04F83D31-1790-489F-844B-2C7A7B911C3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賃料共益費：185,000円
駐車場：9,000円
駐輪場：200円</t>
        </r>
      </text>
    </comment>
    <comment ref="Y4" authorId="1" shapeId="0" xr:uid="{9619F451-D29D-40E4-9D86-B9730C62E4DD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賃料：175,000円
共益費：10,000円
駐車場：9,000円
駐輪場：200円</t>
        </r>
      </text>
    </comment>
    <comment ref="AE4" authorId="1" shapeId="0" xr:uid="{51B8668E-A283-44F3-A948-59D29915EEDF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賃料：175,000円
共益費：10,000円
駐車場：9,000円
駐輪場：200円</t>
        </r>
      </text>
    </comment>
    <comment ref="AF4" authorId="1" shapeId="0" xr:uid="{21A5E54F-A0DD-44B8-B6A6-8B9480D02B4F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賃料：175,000円
共益費：10,000円
駐車場：9,000円
駐輪場：200円</t>
        </r>
      </text>
    </comment>
    <comment ref="AG4" authorId="1" shapeId="0" xr:uid="{0AC893CD-8D6F-47B5-A8D2-D43E431A1D14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賃料：175,000円
共益費：10,000円
駐車場：9,000円
駐輪場：200円</t>
        </r>
      </text>
    </comment>
    <comment ref="A6" authorId="0" shapeId="0" xr:uid="{117B76F6-CA41-418F-BC6B-6B2053D5C7A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0" shapeId="0" xr:uid="{B9BB9685-0408-48EF-8288-695B5160E60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J8" authorId="0" shapeId="0" xr:uid="{BE6AED4F-1DBB-428A-8405-D4473A2E7B6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7/19入居
11日分定率管理委任報酬
賃料共益費：1,706円
駐車場・駐輪場：80円</t>
        </r>
      </text>
    </comment>
    <comment ref="L8" authorId="0" shapeId="0" xr:uid="{91F34066-06AC-4DE6-A4D2-86FE6C37522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賃料共益費：4,070円
駐車場：180円
駐輪場：4円</t>
        </r>
      </text>
    </comment>
    <comment ref="Y8" authorId="0" shapeId="0" xr:uid="{D339466C-A88B-4FE1-949A-E6BCE68C46D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定率管理委任報酬
賃料共益費：4,070円
駐車場：180円
駐輪場：4円</t>
        </r>
      </text>
    </comment>
    <comment ref="C9" authorId="2" shapeId="0" xr:uid="{4B9DA24E-0297-4182-93C3-8F2D6678A615}">
      <text>
        <r>
          <rPr>
            <sz val="9"/>
            <color indexed="81"/>
            <rFont val="MS P ゴシック"/>
            <family val="3"/>
            <charset val="128"/>
          </rPr>
          <t>登記費用概算金：290,000円
管理準備金：21,000円
修繕積立一時金：297,000円</t>
        </r>
      </text>
    </comment>
    <comment ref="G9" authorId="0" shapeId="0" xr:uid="{01877574-7ED4-4902-9A94-F96EEE1752C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食洗器設置：146,000円
固都税概算金：60,000円</t>
        </r>
      </text>
    </comment>
    <comment ref="H9" authorId="0" shapeId="0" xr:uid="{90A92115-46A4-4756-947F-49121BFA63D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エアコン設置：162,800円</t>
        </r>
      </text>
    </comment>
    <comment ref="J9" authorId="0" shapeId="0" xr:uid="{609D9BE9-62CB-435F-9A9B-79DEA7C15FE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仲介手数料：192,500円</t>
        </r>
      </text>
    </comment>
    <comment ref="U9" authorId="2" shapeId="0" xr:uid="{50BD0643-7A0B-42EE-95FC-9E5A9EE4A960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令和7年固都税：72,393円</t>
        </r>
      </text>
    </comment>
    <comment ref="W16" authorId="0" shapeId="0" xr:uid="{7C93F8EB-7D7B-4980-B80D-FACE0775911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Ⅱ街区管理費：1,300円
団地管理費：9,300円
Ⅱ街区修繕積立金：5,350円
団地修繕積立金：170円
駐車場使用料：8,800円
インターネット使用料：1,650円
コミュニティクラブ会費：450円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佐々木 由喜</author>
    <author>倉又 淳一郎</author>
    <author>夏目 卓司</author>
  </authors>
  <commentList>
    <comment ref="Y4" authorId="0" shapeId="0" xr:uid="{EDBFD4FE-C9A0-494E-A569-F9D6D1A27594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賃料：197,000円
駐車場：30,000円
</t>
        </r>
      </text>
    </comment>
    <comment ref="A6" authorId="1" shapeId="0" xr:uid="{4EB0A988-D211-424B-967D-BD8F2948D82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P7" authorId="1" shapeId="0" xr:uid="{E715C25D-AB37-4569-AD1E-7875FAFF17D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管理費・修繕積立金清算金：40,132円
</t>
        </r>
        <r>
          <rPr>
            <u/>
            <sz val="9"/>
            <color indexed="81"/>
            <rFont val="MS P ゴシック"/>
            <family val="3"/>
            <charset val="128"/>
          </rPr>
          <t>12月日割り分　24,597円＝19日/31日</t>
        </r>
      </text>
    </comment>
    <comment ref="Q7" authorId="1" shapeId="0" xr:uid="{180C9127-7B84-4771-80D1-6415725D800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管理費・修繕積立金清算金：40,132円</t>
        </r>
      </text>
    </comment>
    <comment ref="C9" authorId="1" shapeId="0" xr:uid="{5CCADBB9-384C-4E7B-9F0E-61713C72528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仲介手数料：3,960,000円
登記費用：484,012円</t>
        </r>
      </text>
    </comment>
    <comment ref="P9" authorId="2" shapeId="0" xr:uid="{EF722B04-E545-4A82-94A0-1905135E2BBD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令和6年固都税清算金：8,879円</t>
        </r>
      </text>
    </comment>
    <comment ref="U9" authorId="2" shapeId="0" xr:uid="{E5865D52-0097-4FEB-B8AF-53ED8235DBE5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令和7年固都税：164,723円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夏目 卓司</author>
    <author>佐々木 由喜</author>
  </authors>
  <commentList>
    <comment ref="Y4" authorId="0" shapeId="0" xr:uid="{F27C318E-E3DB-4EFF-8F5A-939328D6807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賃料：55,000円
enecoQシステム使用料：1,562円
スマートマンションサービス使用料：880円</t>
        </r>
      </text>
    </comment>
    <comment ref="A6" authorId="0" shapeId="0" xr:uid="{07C92901-EF6E-488E-A005-FD0D8791485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W7" authorId="1" shapeId="0" xr:uid="{56D06F8A-8EA7-43F9-8CD3-88B270EA4AE0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管理費等清算金：
4月分：1,031円
5月分：31,972円</t>
        </r>
      </text>
    </comment>
    <comment ref="Y7" authorId="2" shapeId="0" xr:uid="{EC2CE169-8EEB-46C9-A45E-FD875061AC0C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全体団地管理費：1,400円
団地管理費：9,900円
住宅管理費：10,000円
全体団地修繕積立金：450円
団地修繕積立金：2,340円
修繕積立金：5,440円
システム料金：1,562円
ｽﾏｰﾄﾏﾝｼｮﾝｻｰﾋﾞｰﾋﾞｽ利用料：880円</t>
        </r>
      </text>
    </comment>
    <comment ref="C9" authorId="0" shapeId="0" xr:uid="{2F2C3232-356D-448A-A164-EA2EE5B807D0}">
      <text>
        <r>
          <rPr>
            <sz val="9"/>
            <color indexed="81"/>
            <rFont val="MS P ゴシック"/>
            <family val="3"/>
            <charset val="128"/>
          </rPr>
          <t>仲介手数料：3,696,000円
登記費用：397,532円</t>
        </r>
      </text>
    </comment>
    <comment ref="W9" authorId="1" shapeId="0" xr:uid="{6758AA69-6F85-4124-9B1D-05DA530DC4CD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令和7年度固都税清算金：54,807円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佐々木 由喜</author>
    <author>倉又 淳一郎</author>
    <author>夏目 卓司</author>
  </authors>
  <commentList>
    <comment ref="Y4" authorId="0" shapeId="0" xr:uid="{F347D705-AD73-4E0B-98A6-AB6C29BB871B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賃料：150,000円
駐車場：9,000円
駐輪場：500円</t>
        </r>
      </text>
    </comment>
    <comment ref="A6" authorId="1" shapeId="0" xr:uid="{15A34737-7618-4D34-AD7F-22A711F9746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C6" authorId="1" shapeId="0" xr:uid="{238355AA-F1CF-4F7B-874C-1A48BFF28E2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Y7" authorId="0" shapeId="0" xr:uid="{53294D9C-2F1B-4DC5-AFC6-9056EE8459BF}">
      <text>
        <r>
          <rPr>
            <b/>
            <sz val="9"/>
            <color indexed="81"/>
            <rFont val="MS P ゴシック"/>
            <family val="3"/>
            <charset val="128"/>
          </rPr>
          <t>佐々木 由喜:</t>
        </r>
        <r>
          <rPr>
            <sz val="9"/>
            <color indexed="81"/>
            <rFont val="MS P ゴシック"/>
            <family val="3"/>
            <charset val="128"/>
          </rPr>
          <t xml:space="preserve">
街区別管理費：1,600円
団地管理費：11,300円
街区別修繕費：6,560円
団地修繕費：210円
ｺﾐｭﾆﾃｨｸﾗﾌﾞ会費：450円
インターネット：1,650円</t>
        </r>
      </text>
    </comment>
    <comment ref="U8" authorId="2" shapeId="0" xr:uid="{4C2217C3-5B23-4B2F-87C4-BEFD1D907B23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令和7年固都税：89,648円</t>
        </r>
      </text>
    </comment>
    <comment ref="C9" authorId="2" shapeId="0" xr:uid="{031A006A-8746-4072-804D-667D7A836598}">
      <text>
        <r>
          <rPr>
            <sz val="9"/>
            <color indexed="81"/>
            <rFont val="MS P ゴシック"/>
            <family val="3"/>
            <charset val="128"/>
          </rPr>
          <t>登記費用概算金：330,000円
管理準備金：26,000円
修繕積立一時金：365,000円</t>
        </r>
      </text>
    </comment>
    <comment ref="G9" authorId="1" shapeId="0" xr:uid="{0CD39DE3-BCFE-4C13-AEEC-EA0EC4E95F0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食洗器設置：146,000円
固都税概算金：70,000円</t>
        </r>
      </text>
    </comment>
    <comment ref="H9" authorId="1" shapeId="0" xr:uid="{8A1D0E5A-518B-4618-B00C-EE8F10601CA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エアコン設置：162,800円</t>
        </r>
      </text>
    </comment>
    <comment ref="W15" authorId="1" shapeId="0" xr:uid="{876ABE5B-72B2-4045-9BB9-9A31644F021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Ⅱ街区管理費：1,600円
団地管理費：11,300円
Ⅱ街区修繕積立金：6,560円
団地修繕積立金：210円
駐車場使用料：8,800円
インターネット使用料：1,650円
コミュニティクラブ会費：450円</t>
        </r>
      </text>
    </comment>
  </commentList>
</comments>
</file>

<file path=xl/sharedStrings.xml><?xml version="1.0" encoding="utf-8"?>
<sst xmlns="http://schemas.openxmlformats.org/spreadsheetml/2006/main" count="656" uniqueCount="104">
  <si>
    <t>総計</t>
    <rPh sb="0" eb="2">
      <t>ソウケイ</t>
    </rPh>
    <phoneticPr fontId="2"/>
  </si>
  <si>
    <t>取得価格</t>
    <rPh sb="0" eb="2">
      <t>シュトク</t>
    </rPh>
    <rPh sb="2" eb="4">
      <t>カカク</t>
    </rPh>
    <phoneticPr fontId="2"/>
  </si>
  <si>
    <t>円</t>
    <rPh sb="0" eb="1">
      <t>エン</t>
    </rPh>
    <phoneticPr fontId="2"/>
  </si>
  <si>
    <t>賃料収入</t>
  </si>
  <si>
    <t>減価償却費</t>
    <rPh sb="0" eb="5">
      <t>ゲンカショウキャクヒ</t>
    </rPh>
    <phoneticPr fontId="2"/>
  </si>
  <si>
    <t>残存簿価</t>
    <rPh sb="0" eb="2">
      <t>ザンゾン</t>
    </rPh>
    <rPh sb="2" eb="4">
      <t>ボカ</t>
    </rPh>
    <phoneticPr fontId="2"/>
  </si>
  <si>
    <t>管理費・修繕積立金等</t>
  </si>
  <si>
    <t>管理委託手数料</t>
    <rPh sb="0" eb="2">
      <t>カンリ</t>
    </rPh>
    <rPh sb="2" eb="4">
      <t>イタク</t>
    </rPh>
    <rPh sb="4" eb="6">
      <t>テスウ</t>
    </rPh>
    <rPh sb="6" eb="7">
      <t>リョウ</t>
    </rPh>
    <phoneticPr fontId="2"/>
  </si>
  <si>
    <t>諸経費（税金、募集経費等）</t>
    <rPh sb="0" eb="3">
      <t>ショケイヒ</t>
    </rPh>
    <rPh sb="4" eb="6">
      <t>ゼイキン</t>
    </rPh>
    <rPh sb="7" eb="11">
      <t>ボシュウケイヒ</t>
    </rPh>
    <rPh sb="11" eb="12">
      <t>トウ</t>
    </rPh>
    <phoneticPr fontId="2"/>
  </si>
  <si>
    <t>ネット賃貸収入利回り</t>
    <rPh sb="3" eb="7">
      <t>チンタイシュウニュウ</t>
    </rPh>
    <rPh sb="7" eb="9">
      <t>リマワ</t>
    </rPh>
    <phoneticPr fontId="2"/>
  </si>
  <si>
    <t>取得時簿価利回り</t>
    <rPh sb="0" eb="2">
      <t>シュトク</t>
    </rPh>
    <rPh sb="2" eb="3">
      <t>ジ</t>
    </rPh>
    <rPh sb="3" eb="5">
      <t>ボカ</t>
    </rPh>
    <rPh sb="5" eb="7">
      <t>リマワ</t>
    </rPh>
    <phoneticPr fontId="2"/>
  </si>
  <si>
    <t>残存簿価利回り</t>
    <rPh sb="0" eb="6">
      <t>ザンゾンボカリマワ</t>
    </rPh>
    <phoneticPr fontId="2"/>
  </si>
  <si>
    <t>CF</t>
    <phoneticPr fontId="2"/>
  </si>
  <si>
    <t>PL</t>
    <phoneticPr fontId="2"/>
  </si>
  <si>
    <t>HARUMI FLAG SEAVILLAGE A棟 1508</t>
    <rPh sb="24" eb="25">
      <t>トウ</t>
    </rPh>
    <phoneticPr fontId="2"/>
  </si>
  <si>
    <t>賃料収入</t>
    <rPh sb="0" eb="4">
      <t>チンリョウシュウニュウ</t>
    </rPh>
    <phoneticPr fontId="2"/>
  </si>
  <si>
    <t>管理費・修繕積立金等</t>
    <rPh sb="0" eb="3">
      <t>カンリヒ</t>
    </rPh>
    <rPh sb="4" eb="10">
      <t>シュウゼンツミタテキントウ</t>
    </rPh>
    <phoneticPr fontId="2"/>
  </si>
  <si>
    <t>山中　唯義</t>
    <rPh sb="0" eb="2">
      <t>ヤマナカ</t>
    </rPh>
    <rPh sb="3" eb="4">
      <t>ユイ</t>
    </rPh>
    <rPh sb="4" eb="5">
      <t>ヨシ</t>
    </rPh>
    <phoneticPr fontId="2"/>
  </si>
  <si>
    <t>10/5契約</t>
    <rPh sb="4" eb="6">
      <t>ケイヤク</t>
    </rPh>
    <phoneticPr fontId="2"/>
  </si>
  <si>
    <t>山中唯義</t>
    <rPh sb="0" eb="2">
      <t>ヤマナカ</t>
    </rPh>
    <rPh sb="2" eb="3">
      <t>ユイ</t>
    </rPh>
    <rPh sb="3" eb="4">
      <t>ヨシ</t>
    </rPh>
    <phoneticPr fontId="2"/>
  </si>
  <si>
    <t>HARUMI FLAG SEAVILLAGE E棟 1302</t>
    <phoneticPr fontId="2"/>
  </si>
  <si>
    <t>三戸淳也</t>
    <rPh sb="0" eb="4">
      <t>ミトジュンヤ</t>
    </rPh>
    <phoneticPr fontId="2"/>
  </si>
  <si>
    <t>12//26契約</t>
    <rPh sb="6" eb="8">
      <t>ケイヤク</t>
    </rPh>
    <phoneticPr fontId="2"/>
  </si>
  <si>
    <t>三戸淳也</t>
    <rPh sb="0" eb="2">
      <t>ミト</t>
    </rPh>
    <rPh sb="2" eb="4">
      <t>ジュンヤ</t>
    </rPh>
    <phoneticPr fontId="2"/>
  </si>
  <si>
    <t>HARUMI FLAG SUNVILLAGE A棟 1106</t>
    <phoneticPr fontId="2"/>
  </si>
  <si>
    <t>中川年和</t>
    <rPh sb="0" eb="2">
      <t>ナカガワ</t>
    </rPh>
    <rPh sb="2" eb="3">
      <t>トシ</t>
    </rPh>
    <rPh sb="3" eb="4">
      <t>カズ</t>
    </rPh>
    <phoneticPr fontId="2"/>
  </si>
  <si>
    <t>2/8契約</t>
    <rPh sb="3" eb="5">
      <t>ケイヤク</t>
    </rPh>
    <phoneticPr fontId="2"/>
  </si>
  <si>
    <t>中川年和</t>
    <rPh sb="0" eb="2">
      <t>ナカガワ</t>
    </rPh>
    <rPh sb="2" eb="3">
      <t>ネン</t>
    </rPh>
    <rPh sb="3" eb="4">
      <t>カズ</t>
    </rPh>
    <phoneticPr fontId="2"/>
  </si>
  <si>
    <t>オリゾンマーレ 1110</t>
    <phoneticPr fontId="2"/>
  </si>
  <si>
    <t>永田聖一朗</t>
    <rPh sb="0" eb="2">
      <t>ナガタ</t>
    </rPh>
    <rPh sb="2" eb="4">
      <t>セイイチ</t>
    </rPh>
    <rPh sb="4" eb="5">
      <t>ロウ</t>
    </rPh>
    <phoneticPr fontId="2"/>
  </si>
  <si>
    <t>12/24契約</t>
    <rPh sb="5" eb="7">
      <t>ケイヤク</t>
    </rPh>
    <phoneticPr fontId="2"/>
  </si>
  <si>
    <t>永田聖一朗</t>
    <phoneticPr fontId="2"/>
  </si>
  <si>
    <t>プラウドタワー亀戸クロスゲートタワー 1213</t>
    <rPh sb="7" eb="9">
      <t>カメイド</t>
    </rPh>
    <phoneticPr fontId="2"/>
  </si>
  <si>
    <t>管理費・修繕積立金等</t>
    <rPh sb="0" eb="3">
      <t>カンリヒ</t>
    </rPh>
    <rPh sb="4" eb="9">
      <t>シュウゼンツミタテキン</t>
    </rPh>
    <rPh sb="9" eb="10">
      <t>トウ</t>
    </rPh>
    <phoneticPr fontId="2"/>
  </si>
  <si>
    <t>ランクアップスタイル株式会社</t>
    <phoneticPr fontId="2"/>
  </si>
  <si>
    <t>パークコート文京小石川ザタワー 807</t>
    <rPh sb="6" eb="11">
      <t>ブンキョウコイシカワ</t>
    </rPh>
    <phoneticPr fontId="2"/>
  </si>
  <si>
    <t>ベインキャピタル・プライベート・エクイティ・ジャパン</t>
    <phoneticPr fontId="2"/>
  </si>
  <si>
    <t>8/16契約</t>
    <rPh sb="4" eb="6">
      <t>ケイヤク</t>
    </rPh>
    <phoneticPr fontId="2"/>
  </si>
  <si>
    <t>パークコート麻布十番ザタワー 404</t>
    <rPh sb="6" eb="10">
      <t>アザブジュウバン</t>
    </rPh>
    <phoneticPr fontId="2"/>
  </si>
  <si>
    <t>堀井成巳</t>
    <rPh sb="0" eb="2">
      <t>ホリイ</t>
    </rPh>
    <rPh sb="2" eb="4">
      <t>ナルミ</t>
    </rPh>
    <phoneticPr fontId="2"/>
  </si>
  <si>
    <t>8/1入居者継続</t>
    <rPh sb="3" eb="6">
      <t>ニュウキョシャ</t>
    </rPh>
    <rPh sb="6" eb="8">
      <t>ケイゾク</t>
    </rPh>
    <phoneticPr fontId="2"/>
  </si>
  <si>
    <t>グランスイート南麻布 1404</t>
    <rPh sb="7" eb="10">
      <t>ミナミアザブ</t>
    </rPh>
    <phoneticPr fontId="2"/>
  </si>
  <si>
    <t>YU YUMIN</t>
    <phoneticPr fontId="2"/>
  </si>
  <si>
    <t>9/9入居者継続</t>
    <rPh sb="3" eb="6">
      <t>ニュウキョシャ</t>
    </rPh>
    <rPh sb="6" eb="8">
      <t>ケイゾク</t>
    </rPh>
    <phoneticPr fontId="2"/>
  </si>
  <si>
    <t>ザ・パークハウス南麻布 501</t>
    <rPh sb="8" eb="11">
      <t>ミナミアザブ</t>
    </rPh>
    <phoneticPr fontId="2"/>
  </si>
  <si>
    <t>株式会社SO</t>
    <rPh sb="0" eb="2">
      <t>カブシキ</t>
    </rPh>
    <rPh sb="2" eb="4">
      <t>カイシャ</t>
    </rPh>
    <phoneticPr fontId="2"/>
  </si>
  <si>
    <t>2025/08/17契約</t>
    <rPh sb="10" eb="12">
      <t>ケイヤク</t>
    </rPh>
    <phoneticPr fontId="2"/>
  </si>
  <si>
    <t>パークリュクス白金monoグレージュ801</t>
    <rPh sb="7" eb="9">
      <t>シロカネ</t>
    </rPh>
    <phoneticPr fontId="2"/>
  </si>
  <si>
    <t>広尾ガーデンフォレストA棟509</t>
    <rPh sb="0" eb="2">
      <t>ヒロオ</t>
    </rPh>
    <rPh sb="12" eb="13">
      <t>トウ</t>
    </rPh>
    <phoneticPr fontId="2"/>
  </si>
  <si>
    <t>プラウド白金台601</t>
    <rPh sb="4" eb="6">
      <t>シロガネ</t>
    </rPh>
    <rPh sb="6" eb="7">
      <t>ダイ</t>
    </rPh>
    <phoneticPr fontId="2"/>
  </si>
  <si>
    <t>セントガーデン海老名Ⅱ街区 723</t>
    <rPh sb="7" eb="10">
      <t>エビナ</t>
    </rPh>
    <rPh sb="10" eb="13">
      <t>2ガイク</t>
    </rPh>
    <phoneticPr fontId="2"/>
  </si>
  <si>
    <t>倉本祐之</t>
    <rPh sb="0" eb="2">
      <t>クラモト</t>
    </rPh>
    <rPh sb="2" eb="3">
      <t>ユウ</t>
    </rPh>
    <rPh sb="3" eb="4">
      <t>ユキ</t>
    </rPh>
    <phoneticPr fontId="2"/>
  </si>
  <si>
    <t>2/1契約</t>
    <rPh sb="3" eb="5">
      <t>ケイヤク</t>
    </rPh>
    <phoneticPr fontId="2"/>
  </si>
  <si>
    <t>6月自転車置き場使用料1年分：1,200円</t>
    <rPh sb="1" eb="2">
      <t>ガツ</t>
    </rPh>
    <rPh sb="2" eb="6">
      <t>ジテンシャオ</t>
    </rPh>
    <rPh sb="7" eb="8">
      <t>バ</t>
    </rPh>
    <rPh sb="8" eb="11">
      <t>シヨウリョウ</t>
    </rPh>
    <rPh sb="12" eb="14">
      <t>ネンブン</t>
    </rPh>
    <rPh sb="20" eb="21">
      <t>エン</t>
    </rPh>
    <phoneticPr fontId="2"/>
  </si>
  <si>
    <t>倉本祐之</t>
    <rPh sb="0" eb="2">
      <t>クラモト</t>
    </rPh>
    <rPh sb="2" eb="3">
      <t>ヒロシ</t>
    </rPh>
    <rPh sb="3" eb="4">
      <t>ユキ</t>
    </rPh>
    <phoneticPr fontId="2"/>
  </si>
  <si>
    <t>セントガーデン海老名Ⅱ街区 817</t>
    <rPh sb="7" eb="10">
      <t>エビナ</t>
    </rPh>
    <rPh sb="10" eb="13">
      <t>2ガイク</t>
    </rPh>
    <phoneticPr fontId="2"/>
  </si>
  <si>
    <t>株式会社muub</t>
    <rPh sb="0" eb="2">
      <t>カブシキ</t>
    </rPh>
    <rPh sb="2" eb="4">
      <t>カイシャ</t>
    </rPh>
    <phoneticPr fontId="2"/>
  </si>
  <si>
    <t>7/20契約</t>
    <rPh sb="4" eb="6">
      <t>ケイヤク</t>
    </rPh>
    <phoneticPr fontId="2"/>
  </si>
  <si>
    <t>muub</t>
    <phoneticPr fontId="2"/>
  </si>
  <si>
    <t>セントガーデン海老名Ⅱ街区 1123</t>
    <rPh sb="7" eb="10">
      <t>エビナ</t>
    </rPh>
    <rPh sb="10" eb="13">
      <t>2ガイク</t>
    </rPh>
    <phoneticPr fontId="2"/>
  </si>
  <si>
    <t>永田柚香</t>
    <rPh sb="0" eb="2">
      <t>ナガタ</t>
    </rPh>
    <rPh sb="2" eb="4">
      <t>ユカ</t>
    </rPh>
    <phoneticPr fontId="2"/>
  </si>
  <si>
    <t>12/26契約</t>
    <rPh sb="5" eb="7">
      <t>ケイヤク</t>
    </rPh>
    <phoneticPr fontId="2"/>
  </si>
  <si>
    <t>永田柚香</t>
    <rPh sb="0" eb="2">
      <t>ナガタ</t>
    </rPh>
    <rPh sb="2" eb="3">
      <t>ユズ</t>
    </rPh>
    <rPh sb="3" eb="4">
      <t>カ</t>
    </rPh>
    <phoneticPr fontId="2"/>
  </si>
  <si>
    <t>セントガーデン海老名Ⅱ街区 1217</t>
    <rPh sb="7" eb="10">
      <t>エビナ</t>
    </rPh>
    <rPh sb="10" eb="13">
      <t>2ガイク</t>
    </rPh>
    <phoneticPr fontId="2"/>
  </si>
  <si>
    <t>三井住友信託銀行</t>
    <phoneticPr fontId="2"/>
  </si>
  <si>
    <t>6月自転車置き場使用料1年分：2,400円</t>
    <rPh sb="1" eb="2">
      <t>ガツ</t>
    </rPh>
    <rPh sb="2" eb="6">
      <t>ジテンシャオ</t>
    </rPh>
    <rPh sb="7" eb="8">
      <t>バ</t>
    </rPh>
    <rPh sb="8" eb="11">
      <t>シヨウリョウ</t>
    </rPh>
    <rPh sb="12" eb="14">
      <t>ネンブン</t>
    </rPh>
    <rPh sb="20" eb="21">
      <t>エン</t>
    </rPh>
    <phoneticPr fontId="2"/>
  </si>
  <si>
    <t>2026/3/31解約</t>
    <rPh sb="9" eb="11">
      <t>カイヤク</t>
    </rPh>
    <phoneticPr fontId="2"/>
  </si>
  <si>
    <t>2026/4/1新規</t>
    <rPh sb="8" eb="10">
      <t>シンキ</t>
    </rPh>
    <phoneticPr fontId="2"/>
  </si>
  <si>
    <t>三井住友信託銀行</t>
    <rPh sb="0" eb="8">
      <t>ミツイスミトモシンタクギンコウ</t>
    </rPh>
    <phoneticPr fontId="2"/>
  </si>
  <si>
    <t>セントガーデン海老名Ⅱ街区 1331</t>
    <rPh sb="7" eb="10">
      <t>エビナ</t>
    </rPh>
    <rPh sb="10" eb="13">
      <t>2ガイク</t>
    </rPh>
    <phoneticPr fontId="2"/>
  </si>
  <si>
    <t>縣璃央</t>
    <phoneticPr fontId="2"/>
  </si>
  <si>
    <t>7/21契約</t>
    <rPh sb="4" eb="6">
      <t>ケイヤク</t>
    </rPh>
    <phoneticPr fontId="2"/>
  </si>
  <si>
    <t>セントガーデン海老名Ⅱ街区 1408</t>
    <rPh sb="7" eb="10">
      <t>エビナ</t>
    </rPh>
    <rPh sb="10" eb="13">
      <t>2ガイク</t>
    </rPh>
    <phoneticPr fontId="2"/>
  </si>
  <si>
    <t>合同会社ＵＴＡＨＡ</t>
    <phoneticPr fontId="2"/>
  </si>
  <si>
    <t>11/30契約</t>
    <rPh sb="5" eb="7">
      <t>ケイヤク</t>
    </rPh>
    <phoneticPr fontId="2"/>
  </si>
  <si>
    <t>セントガーデン海老名Ⅱ街区 1431</t>
    <rPh sb="7" eb="10">
      <t>エビナ</t>
    </rPh>
    <rPh sb="10" eb="13">
      <t>2ガイク</t>
    </rPh>
    <phoneticPr fontId="2"/>
  </si>
  <si>
    <t>第一三共(渡邊　晶汰)</t>
    <phoneticPr fontId="2"/>
  </si>
  <si>
    <t>7/19契約</t>
    <rPh sb="4" eb="6">
      <t>ケイヤク</t>
    </rPh>
    <phoneticPr fontId="2"/>
  </si>
  <si>
    <t>第一三共</t>
    <rPh sb="0" eb="4">
      <t>ダイイチサンキョウ</t>
    </rPh>
    <phoneticPr fontId="2"/>
  </si>
  <si>
    <t>部屋</t>
    <rPh sb="0" eb="2">
      <t>ヘヤ</t>
    </rPh>
    <phoneticPr fontId="2"/>
  </si>
  <si>
    <t>契約者</t>
    <rPh sb="0" eb="3">
      <t>ケイヤクシャ</t>
    </rPh>
    <phoneticPr fontId="2"/>
  </si>
  <si>
    <t>賃料</t>
    <rPh sb="0" eb="2">
      <t>チンリョウ</t>
    </rPh>
    <phoneticPr fontId="2"/>
  </si>
  <si>
    <t>共益費</t>
    <rPh sb="0" eb="3">
      <t>キョウエキヒ</t>
    </rPh>
    <phoneticPr fontId="2"/>
  </si>
  <si>
    <t>駐車場</t>
    <rPh sb="0" eb="3">
      <t>チュウシャジョウ</t>
    </rPh>
    <phoneticPr fontId="2"/>
  </si>
  <si>
    <t>駐輪場</t>
    <rPh sb="0" eb="3">
      <t>チュウリンジョウ</t>
    </rPh>
    <phoneticPr fontId="2"/>
  </si>
  <si>
    <t>定率管理委任報酬(月額)</t>
    <rPh sb="9" eb="11">
      <t>ゲツガク</t>
    </rPh>
    <phoneticPr fontId="2"/>
  </si>
  <si>
    <t>※0.02+消費税</t>
    <phoneticPr fontId="2"/>
  </si>
  <si>
    <t>倉本祐之</t>
    <phoneticPr fontId="2"/>
  </si>
  <si>
    <t>※</t>
    <phoneticPr fontId="2"/>
  </si>
  <si>
    <t>竹山嗣男</t>
    <rPh sb="0" eb="2">
      <t>タケヤマ</t>
    </rPh>
    <rPh sb="2" eb="4">
      <t>ツグオ</t>
    </rPh>
    <phoneticPr fontId="2"/>
  </si>
  <si>
    <t>縣璃央</t>
    <rPh sb="0" eb="1">
      <t>アガタ</t>
    </rPh>
    <rPh sb="1" eb="3">
      <t>リオ</t>
    </rPh>
    <phoneticPr fontId="2"/>
  </si>
  <si>
    <t>合同会社ＵＴＡＨＡ</t>
  </si>
  <si>
    <t>小計</t>
    <rPh sb="0" eb="2">
      <t>ショウケイ</t>
    </rPh>
    <phoneticPr fontId="2"/>
  </si>
  <si>
    <t>税込</t>
    <rPh sb="0" eb="2">
      <t>ゼイコミ</t>
    </rPh>
    <phoneticPr fontId="2"/>
  </si>
  <si>
    <t>合計</t>
    <rPh sb="0" eb="2">
      <t>ゴウケイ</t>
    </rPh>
    <phoneticPr fontId="2"/>
  </si>
  <si>
    <t>駐車場と駐輪場は合計が合うように金額を調整する</t>
    <rPh sb="0" eb="3">
      <t>チュウシャジョウ</t>
    </rPh>
    <rPh sb="4" eb="7">
      <t>チュウリンジョウ</t>
    </rPh>
    <rPh sb="8" eb="10">
      <t>ゴウケイ</t>
    </rPh>
    <rPh sb="11" eb="12">
      <t>ア</t>
    </rPh>
    <rPh sb="16" eb="18">
      <t>キンガク</t>
    </rPh>
    <rPh sb="19" eb="21">
      <t>チョウセイ</t>
    </rPh>
    <phoneticPr fontId="2"/>
  </si>
  <si>
    <t>※駐車場5台　合計891円＝180円＋180円+180円+176円+175円</t>
    <rPh sb="1" eb="4">
      <t>チュウシャジョウ</t>
    </rPh>
    <rPh sb="5" eb="6">
      <t>ダイ</t>
    </rPh>
    <rPh sb="7" eb="9">
      <t>ゴウケイ</t>
    </rPh>
    <rPh sb="12" eb="13">
      <t>エン</t>
    </rPh>
    <rPh sb="17" eb="18">
      <t>エン</t>
    </rPh>
    <rPh sb="22" eb="23">
      <t>エン</t>
    </rPh>
    <rPh sb="27" eb="28">
      <t>エン</t>
    </rPh>
    <rPh sb="32" eb="33">
      <t>エン</t>
    </rPh>
    <rPh sb="37" eb="38">
      <t>エン</t>
    </rPh>
    <phoneticPr fontId="2"/>
  </si>
  <si>
    <t>※駐輪場3台　合計11円＝4円＋4円+1円+2円</t>
    <rPh sb="1" eb="4">
      <t>チュウリンジョウ</t>
    </rPh>
    <rPh sb="5" eb="6">
      <t>ダイ</t>
    </rPh>
    <rPh sb="7" eb="9">
      <t>ゴウケイ</t>
    </rPh>
    <rPh sb="11" eb="12">
      <t>エン</t>
    </rPh>
    <rPh sb="14" eb="15">
      <t>エン</t>
    </rPh>
    <rPh sb="17" eb="18">
      <t>エン</t>
    </rPh>
    <rPh sb="20" eb="21">
      <t>エン</t>
    </rPh>
    <rPh sb="23" eb="24">
      <t>エン</t>
    </rPh>
    <phoneticPr fontId="2"/>
  </si>
  <si>
    <t>プラウドタワー亀戸クロスゲートタワー 719</t>
    <rPh sb="7" eb="9">
      <t>カメイド</t>
    </rPh>
    <phoneticPr fontId="2"/>
  </si>
  <si>
    <t>室谷　将之</t>
    <rPh sb="0" eb="2">
      <t>ムロタニ</t>
    </rPh>
    <rPh sb="3" eb="5">
      <t>マサユキ</t>
    </rPh>
    <phoneticPr fontId="2"/>
  </si>
  <si>
    <t>プラウドタワー亀戸クロスブライトタワー2318</t>
    <rPh sb="7" eb="9">
      <t>カメイド</t>
    </rPh>
    <phoneticPr fontId="2"/>
  </si>
  <si>
    <t>西村　祐典</t>
    <rPh sb="0" eb="2">
      <t>ニシムラ</t>
    </rPh>
    <rPh sb="3" eb="4">
      <t>ユウ</t>
    </rPh>
    <rPh sb="4" eb="5">
      <t>テン</t>
    </rPh>
    <phoneticPr fontId="2"/>
  </si>
  <si>
    <t>セントガーデン海老名Ⅱ街区 1223</t>
    <rPh sb="7" eb="10">
      <t>エビナ</t>
    </rPh>
    <rPh sb="10" eb="13">
      <t>2ガイク</t>
    </rPh>
    <phoneticPr fontId="2"/>
  </si>
  <si>
    <t>フェイズィ イフティカール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</si>
</sst>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#,##0.0;[Red]\-#,##0.0"/>
    <numFmt numFmtId="178" formatCode="yyyy&quot;年&quot;m&quot;月&quot;;@"/>
    <numFmt numFmtId="179" formatCode="#,##0;[Red]#,##0"/>
    <numFmt numFmtId="180" formatCode="#,##0_);[Red]\(#,##0\)"/>
  </numFmts>
  <fonts count="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u/>
      <sz val="9"/>
      <color indexed="81"/>
      <name val="MS P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38" fontId="0" fillId="0" borderId="0" xfId="1" applyFont="1" applyFill="1">
      <alignment vertical="center"/>
    </xf>
    <xf numFmtId="38" fontId="3" fillId="0" borderId="0" xfId="1" applyFont="1" applyFill="1">
      <alignment vertical="center"/>
    </xf>
    <xf numFmtId="177" fontId="3" fillId="0" borderId="0" xfId="1" applyNumberFormat="1" applyFont="1" applyFill="1">
      <alignment vertical="center"/>
    </xf>
    <xf numFmtId="176" fontId="3" fillId="0" borderId="0" xfId="2" applyNumberFormat="1" applyFont="1" applyFill="1">
      <alignment vertical="center"/>
    </xf>
    <xf numFmtId="0" fontId="3" fillId="0" borderId="0" xfId="0" applyFont="1">
      <alignment vertical="center"/>
    </xf>
    <xf numFmtId="178" fontId="0" fillId="0" borderId="0" xfId="0" applyNumberFormat="1">
      <alignment vertical="center"/>
    </xf>
    <xf numFmtId="38" fontId="3" fillId="0" borderId="0" xfId="1" applyFont="1" applyFill="1" applyAlignment="1">
      <alignment vertical="center" shrinkToFit="1"/>
    </xf>
    <xf numFmtId="177" fontId="3" fillId="0" borderId="0" xfId="1" applyNumberFormat="1" applyFont="1" applyFill="1" applyAlignment="1">
      <alignment vertical="center" shrinkToFit="1"/>
    </xf>
    <xf numFmtId="176" fontId="3" fillId="0" borderId="0" xfId="2" applyNumberFormat="1" applyFont="1" applyFill="1" applyAlignment="1">
      <alignment vertical="center" shrinkToFit="1"/>
    </xf>
    <xf numFmtId="0" fontId="3" fillId="0" borderId="0" xfId="0" applyFont="1" applyAlignment="1">
      <alignment vertical="center" shrinkToFit="1"/>
    </xf>
    <xf numFmtId="178" fontId="0" fillId="0" borderId="0" xfId="0" applyNumberFormat="1" applyAlignment="1">
      <alignment vertical="center" shrinkToFit="1"/>
    </xf>
    <xf numFmtId="38" fontId="0" fillId="2" borderId="1" xfId="1" applyFont="1" applyFill="1" applyBorder="1" applyAlignment="1">
      <alignment vertical="center" shrinkToFit="1"/>
    </xf>
    <xf numFmtId="38" fontId="0" fillId="2" borderId="1" xfId="1" applyFont="1" applyFill="1" applyBorder="1">
      <alignment vertical="center"/>
    </xf>
    <xf numFmtId="177" fontId="0" fillId="2" borderId="1" xfId="1" applyNumberFormat="1" applyFont="1" applyFill="1" applyBorder="1" applyAlignment="1">
      <alignment vertical="center" shrinkToFit="1"/>
    </xf>
    <xf numFmtId="177" fontId="0" fillId="2" borderId="1" xfId="1" applyNumberFormat="1" applyFont="1" applyFill="1" applyBorder="1">
      <alignment vertical="center"/>
    </xf>
    <xf numFmtId="176" fontId="0" fillId="2" borderId="1" xfId="2" applyNumberFormat="1" applyFont="1" applyFill="1" applyBorder="1" applyAlignment="1">
      <alignment vertical="center" shrinkToFit="1"/>
    </xf>
    <xf numFmtId="176" fontId="0" fillId="2" borderId="1" xfId="2" applyNumberFormat="1" applyFont="1" applyFill="1" applyBorder="1">
      <alignment vertical="center"/>
    </xf>
    <xf numFmtId="38" fontId="0" fillId="3" borderId="1" xfId="1" applyFont="1" applyFill="1" applyBorder="1" applyAlignment="1">
      <alignment vertical="center" shrinkToFit="1"/>
    </xf>
    <xf numFmtId="38" fontId="0" fillId="3" borderId="1" xfId="1" applyFont="1" applyFill="1" applyBorder="1">
      <alignment vertical="center"/>
    </xf>
    <xf numFmtId="177" fontId="0" fillId="3" borderId="1" xfId="1" applyNumberFormat="1" applyFont="1" applyFill="1" applyBorder="1" applyAlignment="1">
      <alignment vertical="center" shrinkToFit="1"/>
    </xf>
    <xf numFmtId="177" fontId="0" fillId="3" borderId="1" xfId="1" applyNumberFormat="1" applyFont="1" applyFill="1" applyBorder="1">
      <alignment vertical="center"/>
    </xf>
    <xf numFmtId="176" fontId="0" fillId="3" borderId="1" xfId="2" applyNumberFormat="1" applyFont="1" applyFill="1" applyBorder="1" applyAlignment="1">
      <alignment vertical="center" shrinkToFit="1"/>
    </xf>
    <xf numFmtId="176" fontId="0" fillId="3" borderId="1" xfId="2" applyNumberFormat="1" applyFont="1" applyFill="1" applyBorder="1">
      <alignment vertical="center"/>
    </xf>
    <xf numFmtId="0" fontId="0" fillId="0" borderId="0" xfId="0" applyAlignment="1">
      <alignment vertical="center" shrinkToFit="1"/>
    </xf>
    <xf numFmtId="0" fontId="6" fillId="2" borderId="1" xfId="0" applyFont="1" applyFill="1" applyBorder="1" applyAlignment="1">
      <alignment vertical="center" shrinkToFit="1"/>
    </xf>
    <xf numFmtId="0" fontId="0" fillId="2" borderId="1" xfId="0" applyFill="1" applyBorder="1" applyAlignment="1">
      <alignment vertical="center" shrinkToFit="1"/>
    </xf>
    <xf numFmtId="0" fontId="6" fillId="3" borderId="1" xfId="0" applyFont="1" applyFill="1" applyBorder="1" applyAlignment="1">
      <alignment vertical="center" shrinkToFit="1"/>
    </xf>
    <xf numFmtId="0" fontId="0" fillId="3" borderId="1" xfId="0" applyFill="1" applyBorder="1" applyAlignment="1">
      <alignment vertical="center" shrinkToFit="1"/>
    </xf>
    <xf numFmtId="38" fontId="0" fillId="3" borderId="1" xfId="2" applyNumberFormat="1" applyFont="1" applyFill="1" applyBorder="1" applyAlignment="1">
      <alignment vertical="center" shrinkToFit="1"/>
    </xf>
    <xf numFmtId="38" fontId="0" fillId="2" borderId="1" xfId="2" applyNumberFormat="1" applyFont="1" applyFill="1" applyBorder="1" applyAlignment="1">
      <alignment vertical="center" shrinkToFit="1"/>
    </xf>
    <xf numFmtId="14" fontId="0" fillId="2" borderId="1" xfId="1" applyNumberFormat="1" applyFont="1" applyFill="1" applyBorder="1" applyAlignment="1">
      <alignment horizontal="center" vertical="center" shrinkToFit="1"/>
    </xf>
    <xf numFmtId="14" fontId="0" fillId="3" borderId="1" xfId="1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 applyAlignment="1">
      <alignment vertical="center" shrinkToFit="1"/>
    </xf>
    <xf numFmtId="0" fontId="6" fillId="4" borderId="1" xfId="0" applyFont="1" applyFill="1" applyBorder="1" applyAlignment="1">
      <alignment vertical="center" shrinkToFit="1"/>
    </xf>
    <xf numFmtId="0" fontId="0" fillId="4" borderId="1" xfId="0" applyFill="1" applyBorder="1" applyAlignment="1">
      <alignment horizontal="center" vertical="center"/>
    </xf>
    <xf numFmtId="14" fontId="0" fillId="4" borderId="1" xfId="1" applyNumberFormat="1" applyFont="1" applyFill="1" applyBorder="1" applyAlignment="1">
      <alignment horizontal="center" vertical="center" shrinkToFit="1"/>
    </xf>
    <xf numFmtId="38" fontId="0" fillId="4" borderId="1" xfId="1" applyFont="1" applyFill="1" applyBorder="1">
      <alignment vertical="center"/>
    </xf>
    <xf numFmtId="38" fontId="0" fillId="4" borderId="1" xfId="1" applyFont="1" applyFill="1" applyBorder="1" applyAlignment="1">
      <alignment vertical="center" shrinkToFit="1"/>
    </xf>
    <xf numFmtId="0" fontId="0" fillId="4" borderId="1" xfId="0" applyFill="1" applyBorder="1" applyAlignment="1">
      <alignment vertical="center" shrinkToFit="1"/>
    </xf>
    <xf numFmtId="177" fontId="0" fillId="4" borderId="1" xfId="1" applyNumberFormat="1" applyFont="1" applyFill="1" applyBorder="1" applyAlignment="1">
      <alignment vertical="center" shrinkToFit="1"/>
    </xf>
    <xf numFmtId="177" fontId="0" fillId="4" borderId="1" xfId="1" applyNumberFormat="1" applyFont="1" applyFill="1" applyBorder="1">
      <alignment vertical="center"/>
    </xf>
    <xf numFmtId="176" fontId="0" fillId="4" borderId="1" xfId="2" applyNumberFormat="1" applyFont="1" applyFill="1" applyBorder="1" applyAlignment="1">
      <alignment vertical="center" shrinkToFit="1"/>
    </xf>
    <xf numFmtId="176" fontId="0" fillId="4" borderId="1" xfId="2" applyNumberFormat="1" applyFont="1" applyFill="1" applyBorder="1">
      <alignment vertical="center"/>
    </xf>
    <xf numFmtId="38" fontId="0" fillId="4" borderId="1" xfId="2" applyNumberFormat="1" applyFont="1" applyFill="1" applyBorder="1" applyAlignment="1">
      <alignment vertical="center" shrinkToFit="1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178" fontId="0" fillId="0" borderId="2" xfId="0" applyNumberForma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38" fontId="0" fillId="0" borderId="2" xfId="1" applyFont="1" applyFill="1" applyBorder="1" applyAlignment="1">
      <alignment vertical="center" shrinkToFit="1"/>
    </xf>
    <xf numFmtId="38" fontId="0" fillId="0" borderId="2" xfId="1" applyFont="1" applyFill="1" applyBorder="1">
      <alignment vertical="center"/>
    </xf>
    <xf numFmtId="3" fontId="0" fillId="0" borderId="2" xfId="2" applyNumberFormat="1" applyFont="1" applyFill="1" applyBorder="1" applyAlignment="1">
      <alignment vertical="center" shrinkToFit="1"/>
    </xf>
    <xf numFmtId="176" fontId="0" fillId="0" borderId="2" xfId="2" applyNumberFormat="1" applyFont="1" applyFill="1" applyBorder="1">
      <alignment vertical="center"/>
    </xf>
    <xf numFmtId="40" fontId="0" fillId="0" borderId="2" xfId="1" applyNumberFormat="1" applyFont="1" applyFill="1" applyBorder="1">
      <alignment vertical="center"/>
    </xf>
    <xf numFmtId="10" fontId="7" fillId="0" borderId="2" xfId="1" applyNumberFormat="1" applyFont="1" applyFill="1" applyBorder="1">
      <alignment vertical="center"/>
    </xf>
    <xf numFmtId="10" fontId="3" fillId="0" borderId="2" xfId="1" applyNumberFormat="1" applyFont="1" applyFill="1" applyBorder="1">
      <alignment vertical="center"/>
    </xf>
    <xf numFmtId="38" fontId="6" fillId="0" borderId="2" xfId="1" applyFont="1" applyFill="1" applyBorder="1" applyAlignment="1">
      <alignment vertical="center" shrinkToFit="1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5" borderId="0" xfId="0" applyFill="1" applyAlignment="1">
      <alignment vertical="center" shrinkToFit="1"/>
    </xf>
    <xf numFmtId="0" fontId="3" fillId="5" borderId="0" xfId="0" applyFont="1" applyFill="1" applyAlignment="1">
      <alignment vertical="center" shrinkToFit="1"/>
    </xf>
    <xf numFmtId="179" fontId="0" fillId="0" borderId="0" xfId="0" applyNumberFormat="1">
      <alignment vertical="center"/>
    </xf>
    <xf numFmtId="179" fontId="0" fillId="0" borderId="1" xfId="1" applyNumberFormat="1" applyFont="1" applyFill="1" applyBorder="1" applyAlignment="1">
      <alignment vertical="center" shrinkToFit="1"/>
    </xf>
    <xf numFmtId="38" fontId="0" fillId="0" borderId="1" xfId="1" applyFont="1" applyFill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0" fillId="0" borderId="3" xfId="0" applyBorder="1">
      <alignment vertical="center"/>
    </xf>
    <xf numFmtId="0" fontId="0" fillId="0" borderId="12" xfId="0" applyBorder="1">
      <alignment vertical="center"/>
    </xf>
    <xf numFmtId="180" fontId="0" fillId="0" borderId="12" xfId="0" applyNumberFormat="1" applyBorder="1">
      <alignment vertical="center"/>
    </xf>
    <xf numFmtId="180" fontId="0" fillId="0" borderId="13" xfId="0" applyNumberFormat="1" applyBorder="1">
      <alignment vertical="center"/>
    </xf>
    <xf numFmtId="180" fontId="0" fillId="0" borderId="5" xfId="0" applyNumberFormat="1" applyBorder="1">
      <alignment vertical="center"/>
    </xf>
    <xf numFmtId="180" fontId="0" fillId="4" borderId="9" xfId="0" applyNumberFormat="1" applyFill="1" applyBorder="1">
      <alignment vertical="center"/>
    </xf>
    <xf numFmtId="180" fontId="0" fillId="0" borderId="0" xfId="0" applyNumberFormat="1">
      <alignment vertical="center"/>
    </xf>
    <xf numFmtId="180" fontId="0" fillId="4" borderId="11" xfId="0" applyNumberFormat="1" applyFill="1" applyBorder="1">
      <alignment vertical="center"/>
    </xf>
    <xf numFmtId="180" fontId="0" fillId="0" borderId="7" xfId="0" applyNumberFormat="1" applyBorder="1">
      <alignment vertical="center"/>
    </xf>
    <xf numFmtId="180" fontId="0" fillId="4" borderId="10" xfId="0" applyNumberFormat="1" applyFill="1" applyBorder="1">
      <alignment vertical="center"/>
    </xf>
    <xf numFmtId="180" fontId="0" fillId="4" borderId="2" xfId="0" applyNumberFormat="1" applyFill="1" applyBorder="1">
      <alignment vertical="center"/>
    </xf>
    <xf numFmtId="0" fontId="0" fillId="0" borderId="2" xfId="0" applyBorder="1">
      <alignment vertical="center"/>
    </xf>
    <xf numFmtId="38" fontId="6" fillId="0" borderId="2" xfId="0" applyNumberFormat="1" applyFont="1" applyBorder="1">
      <alignment vertical="center"/>
    </xf>
    <xf numFmtId="0" fontId="3" fillId="0" borderId="0" xfId="1" applyNumberFormat="1" applyFont="1" applyFill="1" applyAlignment="1">
      <alignment vertical="center" shrinkToFit="1"/>
    </xf>
    <xf numFmtId="3" fontId="0" fillId="0" borderId="0" xfId="0" applyNumberFormat="1">
      <alignment vertical="center"/>
    </xf>
    <xf numFmtId="3" fontId="3" fillId="0" borderId="0" xfId="2" applyNumberFormat="1" applyFont="1" applyFill="1">
      <alignment vertical="center"/>
    </xf>
    <xf numFmtId="180" fontId="0" fillId="0" borderId="12" xfId="0" applyNumberFormat="1" applyBorder="1" applyAlignment="1">
      <alignment horizontal="center" vertical="center"/>
    </xf>
    <xf numFmtId="180" fontId="0" fillId="0" borderId="13" xfId="0" applyNumberFormat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86F8-5FB1-43BD-9BC0-473F1EB5D621}">
  <dimension ref="A1:AK15"/>
  <sheetViews>
    <sheetView zoomScale="85" zoomScaleNormal="85" workbookViewId="0">
      <pane xSplit="1" topLeftCell="P1" activePane="topRight" state="frozen"/>
      <selection pane="topRight" activeCell="R10" sqref="R10"/>
    </sheetView>
  </sheetViews>
  <sheetFormatPr defaultRowHeight="18"/>
  <cols>
    <col min="1" max="1" width="19.69921875" style="24" customWidth="1"/>
    <col min="2" max="2" width="4.3984375" style="33" customWidth="1"/>
    <col min="3" max="23" width="11.5" bestFit="1" customWidth="1"/>
    <col min="24" max="24" width="11.69921875" bestFit="1" customWidth="1"/>
    <col min="25" max="37" width="11.69921875" customWidth="1"/>
  </cols>
  <sheetData>
    <row r="1" spans="1:37">
      <c r="C1" s="51">
        <v>2024</v>
      </c>
      <c r="D1" s="52">
        <v>45322</v>
      </c>
      <c r="E1" s="52">
        <v>45350</v>
      </c>
      <c r="F1" s="52">
        <v>45382</v>
      </c>
      <c r="G1" s="52">
        <v>45412</v>
      </c>
      <c r="H1" s="52">
        <v>45443</v>
      </c>
      <c r="I1" s="52">
        <v>45473</v>
      </c>
      <c r="J1" s="52">
        <v>45504</v>
      </c>
      <c r="K1" s="51">
        <v>2025</v>
      </c>
      <c r="L1" s="52">
        <v>45535</v>
      </c>
      <c r="M1" s="52">
        <v>45565</v>
      </c>
      <c r="N1" s="53">
        <v>45596</v>
      </c>
      <c r="O1" s="53">
        <v>45626</v>
      </c>
      <c r="P1" s="53">
        <v>45657</v>
      </c>
      <c r="Q1" s="52">
        <v>45688</v>
      </c>
      <c r="R1" s="52">
        <v>45716</v>
      </c>
      <c r="S1" s="52">
        <v>45747</v>
      </c>
      <c r="T1" s="52">
        <v>45777</v>
      </c>
      <c r="U1" s="52">
        <v>45808</v>
      </c>
      <c r="V1" s="52">
        <v>45838</v>
      </c>
      <c r="W1" s="52">
        <v>45869</v>
      </c>
      <c r="X1" s="51">
        <v>2026</v>
      </c>
      <c r="Y1" s="52">
        <v>45900</v>
      </c>
      <c r="Z1" s="52">
        <v>45901</v>
      </c>
      <c r="AA1" s="52">
        <v>45931</v>
      </c>
      <c r="AB1" s="52">
        <v>45962</v>
      </c>
      <c r="AC1" s="52">
        <v>45992</v>
      </c>
      <c r="AD1" s="52">
        <v>46023</v>
      </c>
      <c r="AE1" s="52">
        <v>46054</v>
      </c>
      <c r="AF1" s="52">
        <v>46082</v>
      </c>
      <c r="AG1" s="52">
        <v>46113</v>
      </c>
      <c r="AH1" s="52">
        <v>46143</v>
      </c>
      <c r="AI1" s="52">
        <v>46174</v>
      </c>
      <c r="AJ1" s="52">
        <v>46204</v>
      </c>
    </row>
    <row r="2" spans="1:37">
      <c r="A2" s="50" t="s">
        <v>0</v>
      </c>
      <c r="B2" s="63"/>
      <c r="C2" s="51"/>
      <c r="D2" s="52"/>
      <c r="E2" s="52"/>
      <c r="F2" s="52"/>
      <c r="G2" s="52"/>
      <c r="H2" s="52"/>
      <c r="I2" s="52"/>
      <c r="J2" s="52"/>
      <c r="K2" s="51"/>
      <c r="L2" s="52"/>
      <c r="M2" s="52"/>
      <c r="N2" s="53"/>
      <c r="O2" s="53"/>
      <c r="P2" s="53"/>
      <c r="Q2" s="52"/>
      <c r="R2" s="52"/>
      <c r="S2" s="52"/>
      <c r="T2" s="52"/>
      <c r="U2" s="52"/>
      <c r="V2" s="52"/>
      <c r="W2" s="52"/>
      <c r="X2" s="86"/>
      <c r="Y2" s="52"/>
      <c r="Z2" s="52"/>
      <c r="AA2" s="53"/>
      <c r="AB2" s="53"/>
      <c r="AC2" s="53"/>
      <c r="AD2" s="52"/>
      <c r="AE2" s="52"/>
      <c r="AF2" s="52"/>
      <c r="AG2" s="52"/>
      <c r="AH2" s="52"/>
      <c r="AI2" s="52"/>
      <c r="AJ2" s="52"/>
    </row>
    <row r="3" spans="1:37">
      <c r="A3" s="54" t="s">
        <v>1</v>
      </c>
      <c r="B3" s="63" t="s">
        <v>2</v>
      </c>
      <c r="C3" s="55">
        <f>SUM('SEA A棟1508:海老名Ⅱ1431'!C3)</f>
        <v>2836236947</v>
      </c>
      <c r="D3" s="55">
        <f>SUM('SEA A棟1508:海老名Ⅱ1431'!D3)</f>
        <v>0</v>
      </c>
      <c r="E3" s="55">
        <f>SUM('SEA A棟1508:海老名Ⅱ1431'!E3)</f>
        <v>0</v>
      </c>
      <c r="F3" s="55">
        <f>SUM('SEA A棟1508:海老名Ⅱ1431'!F3)</f>
        <v>0</v>
      </c>
      <c r="G3" s="55">
        <f>SUM('SEA A棟1508:海老名Ⅱ1431'!G3)</f>
        <v>0</v>
      </c>
      <c r="H3" s="55">
        <f>SUM('SEA A棟1508:海老名Ⅱ1431'!H3)</f>
        <v>0</v>
      </c>
      <c r="I3" s="55">
        <f>SUM('SEA A棟1508:海老名Ⅱ1431'!I3)</f>
        <v>0</v>
      </c>
      <c r="J3" s="55">
        <f>SUM('SEA A棟1508:海老名Ⅱ1431'!J3)</f>
        <v>0</v>
      </c>
      <c r="K3" s="55"/>
      <c r="L3" s="55">
        <f>SUM('SEA A棟1508:海老名Ⅱ1431'!L3)</f>
        <v>0</v>
      </c>
      <c r="M3" s="55">
        <f>SUM('SEA A棟1508:海老名Ⅱ1431'!M3)</f>
        <v>0</v>
      </c>
      <c r="N3" s="55">
        <f>SUM('SEA A棟1508:海老名Ⅱ1431'!N3)</f>
        <v>0</v>
      </c>
      <c r="O3" s="55">
        <f>SUM('SEA A棟1508:海老名Ⅱ1431'!O3)</f>
        <v>0</v>
      </c>
      <c r="P3" s="55">
        <f>SUM('SEA A棟1508:海老名Ⅱ1431'!P3)</f>
        <v>0</v>
      </c>
      <c r="Q3" s="55">
        <f>SUM('SEA A棟1508:海老名Ⅱ1431'!Q3)</f>
        <v>0</v>
      </c>
      <c r="R3" s="55">
        <f>SUM('SEA A棟1508:海老名Ⅱ1431'!R3)</f>
        <v>0</v>
      </c>
      <c r="S3" s="55">
        <f>SUM('SEA A棟1508:海老名Ⅱ1431'!S3)</f>
        <v>0</v>
      </c>
      <c r="T3" s="55">
        <f>SUM('SEA A棟1508:海老名Ⅱ1431'!T3)</f>
        <v>0</v>
      </c>
      <c r="U3" s="55">
        <f>SUM('SEA A棟1508:海老名Ⅱ1431'!U3)</f>
        <v>0</v>
      </c>
      <c r="V3" s="55">
        <f>SUM('SEA A棟1508:海老名Ⅱ1431'!V3)</f>
        <v>0</v>
      </c>
      <c r="W3" s="55">
        <f>SUM('SEA A棟1508:海老名Ⅱ1431'!W3)</f>
        <v>0</v>
      </c>
      <c r="X3" s="86"/>
      <c r="Y3" s="55">
        <f>SUM('SEA A棟1508:海老名Ⅱ1431'!Y3)</f>
        <v>0</v>
      </c>
      <c r="Z3" s="55">
        <f>SUM('SEA A棟1508:海老名Ⅱ1431'!Z3)</f>
        <v>0</v>
      </c>
      <c r="AA3" s="55">
        <f>SUM('SEA A棟1508:海老名Ⅱ1431'!AA3)</f>
        <v>0</v>
      </c>
      <c r="AB3" s="55">
        <f>SUM('SEA A棟1508:海老名Ⅱ1431'!AB3)</f>
        <v>0</v>
      </c>
      <c r="AC3" s="55">
        <f>SUM('SEA A棟1508:海老名Ⅱ1431'!AC3)</f>
        <v>0</v>
      </c>
      <c r="AD3" s="55">
        <f>SUM('SEA A棟1508:海老名Ⅱ1431'!AD3)</f>
        <v>0</v>
      </c>
      <c r="AE3" s="55">
        <f>SUM('SEA A棟1508:海老名Ⅱ1431'!AE3)</f>
        <v>0</v>
      </c>
      <c r="AF3" s="55">
        <f>SUM('SEA A棟1508:海老名Ⅱ1431'!AF3)</f>
        <v>0</v>
      </c>
      <c r="AG3" s="55">
        <f>SUM('SEA A棟1508:海老名Ⅱ1431'!AG3)</f>
        <v>0</v>
      </c>
      <c r="AH3" s="55">
        <f>SUM('SEA A棟1508:海老名Ⅱ1431'!AH3)</f>
        <v>0</v>
      </c>
      <c r="AI3" s="55">
        <f>SUM('SEA A棟1508:海老名Ⅱ1431'!AI3)</f>
        <v>0</v>
      </c>
      <c r="AJ3" s="55">
        <f>SUM('SEA A棟1508:海老名Ⅱ1431'!AJ3)</f>
        <v>0</v>
      </c>
    </row>
    <row r="4" spans="1:37">
      <c r="A4" s="54" t="s">
        <v>3</v>
      </c>
      <c r="B4" s="63" t="s">
        <v>2</v>
      </c>
      <c r="C4" s="56">
        <f>SUM('SEA A棟1508:海老名Ⅱ1431'!C4)</f>
        <v>3972000</v>
      </c>
      <c r="D4" s="56">
        <f>SUM('SEA A棟1508:海老名Ⅱ1431'!D4)</f>
        <v>0</v>
      </c>
      <c r="E4" s="56">
        <f>SUM('SEA A棟1508:海老名Ⅱ1431'!E4)</f>
        <v>0</v>
      </c>
      <c r="F4" s="56">
        <f>SUM('SEA A棟1508:海老名Ⅱ1431'!F4)</f>
        <v>197419</v>
      </c>
      <c r="G4" s="56">
        <f>SUM('SEA A棟1508:海老名Ⅱ1431'!G4)</f>
        <v>255000</v>
      </c>
      <c r="H4" s="56">
        <f>SUM('SEA A棟1508:海老名Ⅱ1431'!H4)</f>
        <v>255000</v>
      </c>
      <c r="I4" s="56">
        <f>SUM('SEA A棟1508:海老名Ⅱ1431'!I4)</f>
        <v>319333</v>
      </c>
      <c r="J4" s="56">
        <f>SUM('SEA A棟1508:海老名Ⅱ1431'!J4)</f>
        <v>2182136</v>
      </c>
      <c r="K4" s="56"/>
      <c r="L4" s="56">
        <f>SUM('SEA A棟1508:海老名Ⅱ1431'!L4)</f>
        <v>1903851</v>
      </c>
      <c r="M4" s="56">
        <f>SUM('SEA A棟1508:海老名Ⅱ1431'!M4)</f>
        <v>1899067</v>
      </c>
      <c r="N4" s="56">
        <f>SUM('SEA A棟1508:海老名Ⅱ1431'!N4)</f>
        <v>2810593</v>
      </c>
      <c r="O4" s="56">
        <f>SUM('SEA A棟1508:海老名Ⅱ1431'!O4)</f>
        <v>2420400</v>
      </c>
      <c r="P4" s="56">
        <f>SUM('SEA A棟1508:海老名Ⅱ1431'!P4)</f>
        <v>3512835</v>
      </c>
      <c r="Q4" s="56">
        <f>SUM('SEA A棟1508:海老名Ⅱ1431'!Q4)</f>
        <v>3329200</v>
      </c>
      <c r="R4" s="56">
        <f>SUM('SEA A棟1508:海老名Ⅱ1431'!R4)</f>
        <v>4580400</v>
      </c>
      <c r="S4" s="56">
        <f>SUM('SEA A棟1508:海老名Ⅱ1431'!S4)</f>
        <v>4017100</v>
      </c>
      <c r="T4" s="56">
        <f>SUM('SEA A棟1508:海老名Ⅱ1431'!T4)</f>
        <v>4017100</v>
      </c>
      <c r="U4" s="56">
        <f>SUM('SEA A棟1508:海老名Ⅱ1431'!U4)</f>
        <v>4017100</v>
      </c>
      <c r="V4" s="56">
        <f>SUM('SEA A棟1508:海老名Ⅱ1431'!V4)</f>
        <v>4017100</v>
      </c>
      <c r="W4" s="56">
        <f>SUM('SEA A棟1508:海老名Ⅱ1431'!W4)</f>
        <v>4017100</v>
      </c>
      <c r="X4" s="86"/>
      <c r="Y4" s="56">
        <f>SUM('SEA A棟1508:海老名Ⅱ1431'!Y4)</f>
        <v>4017100</v>
      </c>
      <c r="Z4" s="56">
        <f>SUM('SEA A棟1508:海老名Ⅱ1431'!Z4)</f>
        <v>4617100</v>
      </c>
      <c r="AA4" s="56">
        <f>SUM('SEA A棟1508:海老名Ⅱ1431'!AA4)</f>
        <v>4617100</v>
      </c>
      <c r="AB4" s="56">
        <f>SUM('SEA A棟1508:海老名Ⅱ1431'!AB4)</f>
        <v>4617100</v>
      </c>
      <c r="AC4" s="56">
        <f>SUM('SEA A棟1508:海老名Ⅱ1431'!AC4)</f>
        <v>5085133</v>
      </c>
      <c r="AD4" s="56">
        <f>SUM('SEA A棟1508:海老名Ⅱ1431'!AD4)</f>
        <v>4852200</v>
      </c>
      <c r="AE4" s="56">
        <f>SUM('SEA A棟1508:海老名Ⅱ1431'!AE4)</f>
        <v>4852200</v>
      </c>
      <c r="AF4" s="56">
        <f>SUM('SEA A棟1508:海老名Ⅱ1431'!AF4)</f>
        <v>4059200</v>
      </c>
      <c r="AG4" s="56">
        <f>SUM('SEA A棟1508:海老名Ⅱ1431'!AG4)</f>
        <v>4287200</v>
      </c>
      <c r="AH4" s="56">
        <f>SUM('SEA A棟1508:海老名Ⅱ1431'!AH4)</f>
        <v>0</v>
      </c>
      <c r="AI4" s="56">
        <f>SUM('SEA A棟1508:海老名Ⅱ1431'!AI4)</f>
        <v>0</v>
      </c>
      <c r="AJ4" s="56">
        <f>SUM('SEA A棟1508:海老名Ⅱ1431'!AJ4)</f>
        <v>0</v>
      </c>
    </row>
    <row r="5" spans="1:37">
      <c r="A5" s="54" t="s">
        <v>4</v>
      </c>
      <c r="B5" s="63" t="s">
        <v>2</v>
      </c>
      <c r="C5" s="57">
        <f>SUM('SEA A棟1508:海老名Ⅱ1431'!C5)</f>
        <v>0</v>
      </c>
      <c r="D5" s="57">
        <f>SUM('SEA A棟1508:海老名Ⅱ1431'!D5)</f>
        <v>413465</v>
      </c>
      <c r="E5" s="57">
        <f>SUM('SEA A棟1508:海老名Ⅱ1431'!E5)</f>
        <v>413460</v>
      </c>
      <c r="F5" s="57">
        <f>SUM('SEA A棟1508:海老名Ⅱ1431'!F5)</f>
        <v>484384</v>
      </c>
      <c r="G5" s="57">
        <f>SUM('SEA A棟1508:海老名Ⅱ1431'!G5)</f>
        <v>711183</v>
      </c>
      <c r="H5" s="57">
        <f>SUM('SEA A棟1508:海老名Ⅱ1431'!H5)</f>
        <v>711183</v>
      </c>
      <c r="I5" s="57">
        <f>SUM('SEA A棟1508:海老名Ⅱ1431'!I5)</f>
        <v>969520</v>
      </c>
      <c r="J5" s="57">
        <f>SUM('SEA A棟1508:海老名Ⅱ1431'!J5)</f>
        <v>969536</v>
      </c>
      <c r="K5" s="58"/>
      <c r="L5" s="57">
        <f>SUM('SEA A棟1508:海老名Ⅱ1431'!L5)</f>
        <v>1078839</v>
      </c>
      <c r="M5" s="57">
        <f>SUM('SEA A棟1508:海老名Ⅱ1431'!M5)</f>
        <v>1138595</v>
      </c>
      <c r="N5" s="57">
        <f>SUM('SEA A棟1508:海老名Ⅱ1431'!N5)</f>
        <v>1138595</v>
      </c>
      <c r="O5" s="57">
        <f>SUM('SEA A棟1508:海老名Ⅱ1431'!O5)</f>
        <v>1138595</v>
      </c>
      <c r="P5" s="57">
        <f>SUM('SEA A棟1508:海老名Ⅱ1431'!P5)</f>
        <v>1329584</v>
      </c>
      <c r="Q5" s="57">
        <f>SUM('SEA A棟1508:海老名Ⅱ1431'!Q5)</f>
        <v>1329618</v>
      </c>
      <c r="R5" s="57">
        <f>SUM('SEA A棟1508:海老名Ⅱ1431'!R5)</f>
        <v>1329584</v>
      </c>
      <c r="S5" s="57">
        <f>SUM('SEA A棟1508:海老名Ⅱ1431'!S5)</f>
        <v>1329584</v>
      </c>
      <c r="T5" s="57">
        <f>SUM('SEA A棟1508:海老名Ⅱ1431'!T5)</f>
        <v>1329584</v>
      </c>
      <c r="U5" s="57">
        <f>SUM('SEA A棟1508:海老名Ⅱ1431'!U5)</f>
        <v>1329584</v>
      </c>
      <c r="V5" s="57">
        <f>SUM('SEA A棟1508:海老名Ⅱ1431'!V5)</f>
        <v>1329584</v>
      </c>
      <c r="W5" s="57">
        <f>SUM('SEA A棟1508:海老名Ⅱ1431'!W5)</f>
        <v>1329627</v>
      </c>
      <c r="X5" s="86"/>
      <c r="Y5" s="57">
        <f>SUM('SEA A棟1508:海老名Ⅱ1431'!Y5)</f>
        <v>1575340</v>
      </c>
      <c r="Z5" s="57">
        <f>SUM('SEA A棟1508:海老名Ⅱ1431'!Z5)</f>
        <v>2456033</v>
      </c>
      <c r="AA5" s="57">
        <f>SUM('SEA A棟1508:海老名Ⅱ1431'!AA5)</f>
        <v>2456033</v>
      </c>
      <c r="AB5" s="57">
        <f>SUM('SEA A棟1508:海老名Ⅱ1431'!AB5)</f>
        <v>2456033</v>
      </c>
      <c r="AC5" s="57">
        <f>SUM('SEA A棟1508:海老名Ⅱ1431'!AC5)</f>
        <v>2456033</v>
      </c>
      <c r="AD5" s="57">
        <f>SUM('SEA A棟1508:海老名Ⅱ1431'!AD5)</f>
        <v>2571908</v>
      </c>
      <c r="AE5" s="57">
        <f>SUM('SEA A棟1508:海老名Ⅱ1431'!AE5)</f>
        <v>2571865</v>
      </c>
      <c r="AF5" s="57">
        <f>SUM('SEA A棟1508:海老名Ⅱ1431'!AF5)</f>
        <v>2571865</v>
      </c>
      <c r="AG5" s="57">
        <f>SUM('SEA A棟1508:海老名Ⅱ1431'!AG5)</f>
        <v>2571865</v>
      </c>
      <c r="AH5" s="57">
        <f>SUM('SEA A棟1508:海老名Ⅱ1431'!AH5)</f>
        <v>2571865</v>
      </c>
      <c r="AI5" s="57">
        <f>SUM('SEA A棟1508:海老名Ⅱ1431'!AI5)</f>
        <v>2571865</v>
      </c>
      <c r="AJ5" s="57">
        <f>SUM('SEA A棟1508:海老名Ⅱ1431'!AJ5)</f>
        <v>2571918</v>
      </c>
    </row>
    <row r="6" spans="1:37">
      <c r="A6" s="54" t="s">
        <v>5</v>
      </c>
      <c r="B6" s="63" t="s">
        <v>2</v>
      </c>
      <c r="C6" s="56">
        <f>SUM('SEA A棟1508:海老名Ⅱ1431'!C6)</f>
        <v>1287562557</v>
      </c>
      <c r="D6" s="55">
        <f>SUM('SEA A棟1508:海老名Ⅱ1431'!D6)</f>
        <v>225111028</v>
      </c>
      <c r="E6" s="55">
        <f>SUM('SEA A棟1508:海老名Ⅱ1431'!E6)</f>
        <v>224697568</v>
      </c>
      <c r="F6" s="55">
        <f>SUM('SEA A棟1508:海老名Ⅱ1431'!F6)</f>
        <v>262899342</v>
      </c>
      <c r="G6" s="55">
        <f>SUM('SEA A棟1508:海老名Ⅱ1431'!G6)</f>
        <v>385898402</v>
      </c>
      <c r="H6" s="55">
        <f>SUM('SEA A棟1508:海老名Ⅱ1431'!H6)</f>
        <v>385187219</v>
      </c>
      <c r="I6" s="55">
        <f>SUM('SEA A棟1508:海老名Ⅱ1431'!I6)</f>
        <v>525129128</v>
      </c>
      <c r="J6" s="55">
        <f>SUM('SEA A棟1508:海老名Ⅱ1431'!J6)</f>
        <v>524159592</v>
      </c>
      <c r="K6" s="56"/>
      <c r="L6" s="55">
        <f>SUM('SEA A棟1508:海老名Ⅱ1431'!L6)</f>
        <v>582709676</v>
      </c>
      <c r="M6" s="55">
        <f>SUM('SEA A棟1508:海老名Ⅱ1431'!M6)</f>
        <v>614165364</v>
      </c>
      <c r="N6" s="55">
        <f>SUM('SEA A棟1508:海老名Ⅱ1431'!N6)</f>
        <v>613026769</v>
      </c>
      <c r="O6" s="55">
        <f>SUM('SEA A棟1508:海老名Ⅱ1431'!O6)</f>
        <v>611888174</v>
      </c>
      <c r="P6" s="55">
        <f>SUM('SEA A棟1508:海老名Ⅱ1431'!P6)</f>
        <v>714734546</v>
      </c>
      <c r="Q6" s="55">
        <f>SUM('SEA A棟1508:海老名Ⅱ1431'!Q6)</f>
        <v>713404928</v>
      </c>
      <c r="R6" s="55">
        <f>SUM('SEA A棟1508:海老名Ⅱ1431'!R6)</f>
        <v>712075344</v>
      </c>
      <c r="S6" s="55">
        <f>SUM('SEA A棟1508:海老名Ⅱ1431'!S6)</f>
        <v>710745760</v>
      </c>
      <c r="T6" s="55">
        <f>SUM('SEA A棟1508:海老名Ⅱ1431'!T6)</f>
        <v>709416176</v>
      </c>
      <c r="U6" s="55">
        <f>SUM('SEA A棟1508:海老名Ⅱ1431'!U6)</f>
        <v>708086592</v>
      </c>
      <c r="V6" s="55">
        <f>SUM('SEA A棟1508:海老名Ⅱ1431'!V6)</f>
        <v>706757008</v>
      </c>
      <c r="W6" s="55">
        <f>SUM('SEA A棟1508:海老名Ⅱ1431'!W6)</f>
        <v>767878202</v>
      </c>
      <c r="X6" s="86"/>
      <c r="Y6" s="55">
        <f>SUM('SEA A棟1508:海老名Ⅱ1431'!Y6)</f>
        <v>1265365902</v>
      </c>
      <c r="Z6" s="55">
        <f>SUM('SEA A棟1508:海老名Ⅱ1431'!Z6)</f>
        <v>1262909869</v>
      </c>
      <c r="AA6" s="55">
        <f>SUM('SEA A棟1508:海老名Ⅱ1431'!AA6)</f>
        <v>1260453836</v>
      </c>
      <c r="AB6" s="55">
        <f>SUM('SEA A棟1508:海老名Ⅱ1431'!AB6)</f>
        <v>1257997803</v>
      </c>
      <c r="AC6" s="55">
        <f>SUM('SEA A棟1508:海老名Ⅱ1431'!AC6)</f>
        <v>1255541770</v>
      </c>
      <c r="AD6" s="55">
        <f>SUM('SEA A棟1508:海老名Ⅱ1431'!AD6)</f>
        <v>1252969862</v>
      </c>
      <c r="AE6" s="55">
        <f>SUM('SEA A棟1508:海老名Ⅱ1431'!AE6)</f>
        <v>1250397997</v>
      </c>
      <c r="AF6" s="55">
        <f>SUM('SEA A棟1508:海老名Ⅱ1431'!AF6)</f>
        <v>1247826132</v>
      </c>
      <c r="AG6" s="55">
        <f>SUM('SEA A棟1508:海老名Ⅱ1431'!AG6)</f>
        <v>1245254267</v>
      </c>
      <c r="AH6" s="55">
        <f>SUM('SEA A棟1508:海老名Ⅱ1431'!AH6)</f>
        <v>1242682402</v>
      </c>
      <c r="AI6" s="55">
        <f>SUM('SEA A棟1508:海老名Ⅱ1431'!AI6)</f>
        <v>1240110537</v>
      </c>
      <c r="AJ6" s="55">
        <f>SUM('SEA A棟1508:海老名Ⅱ1431'!AJ6)</f>
        <v>1237538619</v>
      </c>
    </row>
    <row r="7" spans="1:37">
      <c r="A7" s="54" t="s">
        <v>6</v>
      </c>
      <c r="B7" s="63" t="s">
        <v>2</v>
      </c>
      <c r="C7" s="59">
        <f>SUM('SEA A棟1508:海老名Ⅱ1431'!C7)</f>
        <v>701401</v>
      </c>
      <c r="D7" s="56">
        <f>SUM('SEA A棟1508:海老名Ⅱ1431'!D7)</f>
        <v>82476</v>
      </c>
      <c r="E7" s="56">
        <f>SUM('SEA A棟1508:海老名Ⅱ1431'!E7)</f>
        <v>198660</v>
      </c>
      <c r="F7" s="56">
        <f>SUM('SEA A棟1508:海老名Ⅱ1431'!F7)</f>
        <v>230177</v>
      </c>
      <c r="G7" s="56">
        <f>SUM('SEA A棟1508:海老名Ⅱ1431'!G7)</f>
        <v>239370</v>
      </c>
      <c r="H7" s="56">
        <f>SUM('SEA A棟1508:海老名Ⅱ1431'!H7)</f>
        <v>406890</v>
      </c>
      <c r="I7" s="56">
        <f>SUM('SEA A棟1508:海老名Ⅱ1431'!I7)</f>
        <v>424548</v>
      </c>
      <c r="J7" s="56">
        <f>SUM('SEA A棟1508:海老名Ⅱ1431'!J7)</f>
        <v>472262</v>
      </c>
      <c r="K7" s="59"/>
      <c r="L7" s="56">
        <f>SUM('SEA A棟1508:海老名Ⅱ1431'!L7)</f>
        <v>496842</v>
      </c>
      <c r="M7" s="56">
        <f>SUM('SEA A棟1508:海老名Ⅱ1431'!M7)</f>
        <v>516516</v>
      </c>
      <c r="N7" s="56">
        <f>SUM('SEA A棟1508:海老名Ⅱ1431'!N7)</f>
        <v>527160</v>
      </c>
      <c r="O7" s="56">
        <f>SUM('SEA A棟1508:海老名Ⅱ1431'!O7)</f>
        <v>527160</v>
      </c>
      <c r="P7" s="56">
        <f>SUM('SEA A棟1508:海老名Ⅱ1431'!P7)</f>
        <v>527160</v>
      </c>
      <c r="Q7" s="56">
        <f>SUM('SEA A棟1508:海老名Ⅱ1431'!Q7)</f>
        <v>597235</v>
      </c>
      <c r="R7" s="56">
        <f>SUM('SEA A棟1508:海老名Ⅱ1431'!R7)</f>
        <v>610711</v>
      </c>
      <c r="S7" s="56">
        <f>SUM('SEA A棟1508:海老名Ⅱ1431'!S7)</f>
        <v>779682</v>
      </c>
      <c r="T7" s="56">
        <f>SUM('SEA A棟1508:海老名Ⅱ1431'!T7)</f>
        <v>610711</v>
      </c>
      <c r="U7" s="56">
        <f>SUM('SEA A棟1508:海老名Ⅱ1431'!U7)</f>
        <v>610711</v>
      </c>
      <c r="V7" s="56">
        <f>SUM('SEA A棟1508:海老名Ⅱ1431'!V7)</f>
        <v>685541</v>
      </c>
      <c r="W7" s="56">
        <f>SUM('SEA A棟1508:海老名Ⅱ1431'!W7)</f>
        <v>685541</v>
      </c>
      <c r="X7" s="86"/>
      <c r="Y7" s="56">
        <f>SUM('SEA A棟1508:海老名Ⅱ1431'!Y7)</f>
        <v>695031</v>
      </c>
      <c r="Z7" s="56">
        <f>SUM('SEA A棟1508:海老名Ⅱ1431'!Z7)</f>
        <v>695031</v>
      </c>
      <c r="AA7" s="56">
        <f>SUM('SEA A棟1508:海老名Ⅱ1431'!AA7)</f>
        <v>717411</v>
      </c>
      <c r="AB7" s="56">
        <f>SUM('SEA A棟1508:海老名Ⅱ1431'!AB7)</f>
        <v>722011</v>
      </c>
      <c r="AC7" s="56">
        <f>SUM('SEA A棟1508:海老名Ⅱ1431'!AC7)</f>
        <v>1060411</v>
      </c>
      <c r="AD7" s="56">
        <f>SUM('SEA A棟1508:海老名Ⅱ1431'!AD7)</f>
        <v>1060411</v>
      </c>
      <c r="AE7" s="56">
        <f>SUM('SEA A棟1508:海老名Ⅱ1431'!AE7)</f>
        <v>722011</v>
      </c>
      <c r="AF7" s="56">
        <f>SUM('SEA A棟1508:海老名Ⅱ1431'!AF7)</f>
        <v>767579</v>
      </c>
      <c r="AG7" s="56">
        <f>SUM('SEA A棟1508:海老名Ⅱ1431'!AG7)</f>
        <v>722011</v>
      </c>
      <c r="AH7" s="56">
        <f>SUM('SEA A棟1508:海老名Ⅱ1431'!AH7)</f>
        <v>699631</v>
      </c>
      <c r="AI7" s="56">
        <f>SUM('SEA A棟1508:海老名Ⅱ1431'!AI7)</f>
        <v>699631</v>
      </c>
      <c r="AJ7" s="56">
        <f>SUM('SEA A棟1508:海老名Ⅱ1431'!AJ7)</f>
        <v>699631</v>
      </c>
    </row>
    <row r="8" spans="1:37">
      <c r="A8" s="54" t="s">
        <v>7</v>
      </c>
      <c r="B8" s="63" t="s">
        <v>2</v>
      </c>
      <c r="C8" s="59">
        <f>SUM('SEA A棟1508:海老名Ⅱ1431'!C8)</f>
        <v>0</v>
      </c>
      <c r="D8" s="56">
        <f>SUM('SEA A棟1508:海老名Ⅱ1431'!D8)</f>
        <v>0</v>
      </c>
      <c r="E8" s="56">
        <f>SUM('SEA A棟1508:海老名Ⅱ1431'!E8)</f>
        <v>0</v>
      </c>
      <c r="F8" s="56">
        <f>SUM('SEA A棟1508:海老名Ⅱ1431'!F8)</f>
        <v>0</v>
      </c>
      <c r="G8" s="56">
        <f>SUM('SEA A棟1508:海老名Ⅱ1431'!G8)</f>
        <v>0</v>
      </c>
      <c r="H8" s="56">
        <f>SUM('SEA A棟1508:海老名Ⅱ1431'!H8)</f>
        <v>0</v>
      </c>
      <c r="I8" s="56">
        <f>SUM('SEA A棟1508:海老名Ⅱ1431'!I8)</f>
        <v>0</v>
      </c>
      <c r="J8" s="56">
        <f>SUM('SEA A棟1508:海老名Ⅱ1431'!J8)</f>
        <v>3285</v>
      </c>
      <c r="K8" s="59"/>
      <c r="L8" s="56">
        <f>SUM('SEA A棟1508:海老名Ⅱ1431'!L8)</f>
        <v>26950</v>
      </c>
      <c r="M8" s="56">
        <f>SUM('SEA A棟1508:海老名Ⅱ1431'!M8)</f>
        <v>33040</v>
      </c>
      <c r="N8" s="56">
        <f>SUM('SEA A棟1508:海老名Ⅱ1431'!N8)</f>
        <v>47673</v>
      </c>
      <c r="O8" s="56">
        <f>SUM('SEA A棟1508:海老名Ⅱ1431'!O8)</f>
        <v>48946</v>
      </c>
      <c r="P8" s="56">
        <f>SUM('SEA A棟1508:海老名Ⅱ1431'!P8)</f>
        <v>53200</v>
      </c>
      <c r="Q8" s="56">
        <f>SUM('SEA A棟1508:海老名Ⅱ1431'!Q8)</f>
        <v>68922</v>
      </c>
      <c r="R8" s="56">
        <f>SUM('SEA A棟1508:海老名Ⅱ1431'!R8)</f>
        <v>81519</v>
      </c>
      <c r="S8" s="56">
        <f>SUM('SEA A棟1508:海老名Ⅱ1431'!S8)</f>
        <v>84038</v>
      </c>
      <c r="T8" s="56">
        <f>SUM('SEA A棟1508:海老名Ⅱ1431'!T8)</f>
        <v>84038</v>
      </c>
      <c r="U8" s="56">
        <f>SUM('SEA A棟1508:海老名Ⅱ1431'!U8)</f>
        <v>84038</v>
      </c>
      <c r="V8" s="56">
        <f>SUM('SEA A棟1508:海老名Ⅱ1431'!V8)</f>
        <v>84038</v>
      </c>
      <c r="W8" s="56">
        <f>SUM('SEA A棟1508:海老名Ⅱ1431'!W8)</f>
        <v>84038</v>
      </c>
      <c r="X8" s="86"/>
      <c r="Y8" s="56">
        <f>SUM('SEA A棟1508:海老名Ⅱ1431'!Y8)</f>
        <v>84038</v>
      </c>
      <c r="Z8" s="56">
        <f>SUM('SEA A棟1508:海老名Ⅱ1431'!Z8)</f>
        <v>84038</v>
      </c>
      <c r="AA8" s="56">
        <f>SUM('SEA A棟1508:海老名Ⅱ1431'!AA8)</f>
        <v>84038</v>
      </c>
      <c r="AB8" s="56">
        <f>SUM('SEA A棟1508:海老名Ⅱ1431'!AB8)</f>
        <v>84038</v>
      </c>
      <c r="AC8" s="56">
        <f>SUM('SEA A棟1508:海老名Ⅱ1431'!AC8)</f>
        <v>89384</v>
      </c>
      <c r="AD8" s="56">
        <f>SUM('SEA A棟1508:海老名Ⅱ1431'!AD8)</f>
        <v>89210</v>
      </c>
      <c r="AE8" s="56">
        <f>SUM('SEA A棟1508:海老名Ⅱ1431'!AE8)</f>
        <v>89210</v>
      </c>
      <c r="AF8" s="56">
        <f>SUM('SEA A棟1508:海老名Ⅱ1431'!AF8)</f>
        <v>89210</v>
      </c>
      <c r="AG8" s="56">
        <f>SUM('SEA A棟1508:海老名Ⅱ1431'!AG8)</f>
        <v>84084</v>
      </c>
      <c r="AH8" s="56">
        <f>SUM('SEA A棟1508:海老名Ⅱ1431'!AH8)</f>
        <v>0</v>
      </c>
      <c r="AI8" s="56">
        <f>SUM('SEA A棟1508:海老名Ⅱ1431'!AI8)</f>
        <v>0</v>
      </c>
      <c r="AJ8" s="56">
        <f>SUM('SEA A棟1508:海老名Ⅱ1431'!AJ8)</f>
        <v>0</v>
      </c>
    </row>
    <row r="9" spans="1:37">
      <c r="A9" s="54" t="s">
        <v>8</v>
      </c>
      <c r="B9" s="63" t="s">
        <v>2</v>
      </c>
      <c r="C9" s="56">
        <f>SUM('SEA A棟1508:海老名Ⅱ1431'!C9)</f>
        <v>95310527</v>
      </c>
      <c r="D9" s="56">
        <f>SUM('SEA A棟1508:海老名Ⅱ1431'!D9)</f>
        <v>1342000</v>
      </c>
      <c r="E9" s="56">
        <f>SUM('SEA A棟1508:海老名Ⅱ1431'!E9)</f>
        <v>0</v>
      </c>
      <c r="F9" s="56">
        <f>SUM('SEA A棟1508:海老名Ⅱ1431'!F9)</f>
        <v>143712</v>
      </c>
      <c r="G9" s="56">
        <f>SUM('SEA A棟1508:海老名Ⅱ1431'!G9)</f>
        <v>1276000</v>
      </c>
      <c r="H9" s="56">
        <f>SUM('SEA A棟1508:海老名Ⅱ1431'!H9)</f>
        <v>976800</v>
      </c>
      <c r="I9" s="56">
        <f>SUM('SEA A棟1508:海老名Ⅱ1431'!I9)</f>
        <v>148877</v>
      </c>
      <c r="J9" s="56">
        <f>SUM('SEA A棟1508:海老名Ⅱ1431'!J9)</f>
        <v>854700</v>
      </c>
      <c r="K9" s="56"/>
      <c r="L9" s="56">
        <f>SUM('SEA A棟1508:海老名Ⅱ1431'!L9)</f>
        <v>519266</v>
      </c>
      <c r="M9" s="56">
        <f>SUM('SEA A棟1508:海老名Ⅱ1431'!M9)</f>
        <v>484002</v>
      </c>
      <c r="N9" s="56">
        <f>SUM('SEA A棟1508:海老名Ⅱ1431'!N9)</f>
        <v>1038071</v>
      </c>
      <c r="O9" s="56">
        <f>SUM('SEA A棟1508:海老名Ⅱ1431'!O9)</f>
        <v>3139</v>
      </c>
      <c r="P9" s="56">
        <f>SUM('SEA A棟1508:海老名Ⅱ1431'!P9)</f>
        <v>1385516</v>
      </c>
      <c r="Q9" s="56">
        <f>SUM('SEA A棟1508:海老名Ⅱ1431'!Q9)</f>
        <v>235771</v>
      </c>
      <c r="R9" s="56">
        <f>SUM('SEA A棟1508:海老名Ⅱ1431'!R9)</f>
        <v>507013</v>
      </c>
      <c r="S9" s="56">
        <f>SUM('SEA A棟1508:海老名Ⅱ1431'!S9)</f>
        <v>183606</v>
      </c>
      <c r="T9" s="56">
        <f>SUM('SEA A棟1508:海老名Ⅱ1431'!T9)</f>
        <v>9029</v>
      </c>
      <c r="U9" s="56">
        <f>SUM('SEA A棟1508:海老名Ⅱ1431'!U9)</f>
        <v>2300553</v>
      </c>
      <c r="V9" s="56">
        <f>SUM('SEA A棟1508:海老名Ⅱ1431'!V9)</f>
        <v>7245</v>
      </c>
      <c r="W9" s="56">
        <f>SUM('SEA A棟1508:海老名Ⅱ1431'!W9)</f>
        <v>7269</v>
      </c>
      <c r="X9" s="86"/>
      <c r="Y9" s="56">
        <f>SUM('SEA A棟1508:海老名Ⅱ1431'!Y9)</f>
        <v>8024</v>
      </c>
      <c r="Z9" s="56">
        <f>SUM('SEA A棟1508:海老名Ⅱ1431'!Z9)</f>
        <v>3710</v>
      </c>
      <c r="AA9" s="56">
        <f>SUM('SEA A棟1508:海老名Ⅱ1431'!AA9)</f>
        <v>11896</v>
      </c>
      <c r="AB9" s="56">
        <f>SUM('SEA A棟1508:海老名Ⅱ1431'!AB9)</f>
        <v>12594</v>
      </c>
      <c r="AC9" s="56">
        <f>SUM('SEA A棟1508:海老名Ⅱ1431'!AC9)</f>
        <v>16395</v>
      </c>
      <c r="AD9" s="56">
        <f>SUM('SEA A棟1508:海老名Ⅱ1431'!AD9)</f>
        <v>12309</v>
      </c>
      <c r="AE9" s="56">
        <f>SUM('SEA A棟1508:海老名Ⅱ1431'!AE9)</f>
        <v>15451</v>
      </c>
      <c r="AF9" s="56">
        <f>SUM('SEA A棟1508:海老名Ⅱ1431'!AF9)</f>
        <v>3189811</v>
      </c>
      <c r="AG9" s="56">
        <f>SUM('SEA A棟1508:海老名Ⅱ1431'!AG9)</f>
        <v>16000</v>
      </c>
      <c r="AH9" s="56">
        <f>SUM('SEA A棟1508:海老名Ⅱ1431'!AH9)</f>
        <v>0</v>
      </c>
      <c r="AI9" s="56">
        <f>SUM('SEA A棟1508:海老名Ⅱ1431'!AI9)</f>
        <v>0</v>
      </c>
      <c r="AJ9" s="56">
        <f>SUM('SEA A棟1508:海老名Ⅱ1431'!AJ9)</f>
        <v>0</v>
      </c>
    </row>
    <row r="10" spans="1:37">
      <c r="A10" s="54" t="s">
        <v>9</v>
      </c>
      <c r="B10" s="63" t="s">
        <v>2</v>
      </c>
      <c r="C10" s="56">
        <f>SUM('SEA A棟1508:海老名Ⅱ1431'!C10)</f>
        <v>0</v>
      </c>
      <c r="D10" s="56">
        <f>SUM('SEA A棟1508:海老名Ⅱ1431'!D10)</f>
        <v>0</v>
      </c>
      <c r="E10" s="56">
        <f>SUM('SEA A棟1508:海老名Ⅱ1431'!E10)</f>
        <v>0</v>
      </c>
      <c r="F10" s="56">
        <f>SUM('SEA A棟1508:海老名Ⅱ1431'!F10)</f>
        <v>0</v>
      </c>
      <c r="G10" s="56">
        <f>SUM('SEA A棟1508:海老名Ⅱ1431'!G10)</f>
        <v>0</v>
      </c>
      <c r="H10" s="56">
        <f>SUM('SEA A棟1508:海老名Ⅱ1431'!H10)</f>
        <v>0</v>
      </c>
      <c r="I10" s="56">
        <f>SUM('SEA A棟1508:海老名Ⅱ1431'!I10)</f>
        <v>0</v>
      </c>
      <c r="J10" s="56">
        <f>SUM('SEA A棟1508:海老名Ⅱ1431'!J10)</f>
        <v>0</v>
      </c>
      <c r="K10" s="56"/>
      <c r="L10" s="56">
        <f>SUM('SEA A棟1508:海老名Ⅱ1431'!L10)</f>
        <v>0</v>
      </c>
      <c r="M10" s="56">
        <f>SUM('SEA A棟1508:海老名Ⅱ1431'!M10)</f>
        <v>0</v>
      </c>
      <c r="N10" s="56">
        <f>SUM('SEA A棟1508:海老名Ⅱ1431'!N10)</f>
        <v>0</v>
      </c>
      <c r="O10" s="56">
        <f>SUM('SEA A棟1508:海老名Ⅱ1431'!O10)</f>
        <v>0</v>
      </c>
      <c r="P10" s="56">
        <f>SUM('SEA A棟1508:海老名Ⅱ1431'!P10)</f>
        <v>0</v>
      </c>
      <c r="Q10" s="56">
        <f>SUM('SEA A棟1508:海老名Ⅱ1431'!Q10)</f>
        <v>0</v>
      </c>
      <c r="R10" s="56">
        <f>SUM('SEA A棟1508:海老名Ⅱ1431'!R10)</f>
        <v>0</v>
      </c>
      <c r="S10" s="56">
        <f>SUM('SEA A棟1508:海老名Ⅱ1431'!S10)</f>
        <v>0</v>
      </c>
      <c r="T10" s="56">
        <f>SUM('SEA A棟1508:海老名Ⅱ1431'!T10)</f>
        <v>0</v>
      </c>
      <c r="U10" s="56">
        <f>SUM('SEA A棟1508:海老名Ⅱ1431'!U10)</f>
        <v>0</v>
      </c>
      <c r="V10" s="56">
        <f>SUM('SEA A棟1508:海老名Ⅱ1431'!V10)</f>
        <v>0</v>
      </c>
      <c r="W10" s="56">
        <f>SUM('SEA A棟1508:海老名Ⅱ1431'!W10)</f>
        <v>0</v>
      </c>
      <c r="X10" s="86"/>
      <c r="Y10" s="56">
        <f>SUM('SEA A棟1508:海老名Ⅱ1431'!Y10)</f>
        <v>0</v>
      </c>
      <c r="Z10" s="56">
        <f>SUM('SEA A棟1508:海老名Ⅱ1431'!Z10)</f>
        <v>0</v>
      </c>
      <c r="AA10" s="56">
        <f>SUM('SEA A棟1508:海老名Ⅱ1431'!AA10)</f>
        <v>0</v>
      </c>
      <c r="AB10" s="56">
        <f>SUM('SEA A棟1508:海老名Ⅱ1431'!AB10)</f>
        <v>0</v>
      </c>
      <c r="AC10" s="56">
        <f>SUM('SEA A棟1508:海老名Ⅱ1431'!AC10)</f>
        <v>0</v>
      </c>
      <c r="AD10" s="56">
        <f>SUM('SEA A棟1508:海老名Ⅱ1431'!AD10)</f>
        <v>0</v>
      </c>
      <c r="AE10" s="56">
        <f>SUM('SEA A棟1508:海老名Ⅱ1431'!AE10)</f>
        <v>0</v>
      </c>
      <c r="AF10" s="56">
        <f>SUM('SEA A棟1508:海老名Ⅱ1431'!AF10)</f>
        <v>0</v>
      </c>
      <c r="AG10" s="56">
        <f>SUM('SEA A棟1508:海老名Ⅱ1431'!AG10)</f>
        <v>0</v>
      </c>
      <c r="AH10" s="56">
        <f>SUM('SEA A棟1508:海老名Ⅱ1431'!AH10)</f>
        <v>0</v>
      </c>
      <c r="AI10" s="56">
        <f>SUM('SEA A棟1508:海老名Ⅱ1431'!AI10)</f>
        <v>0</v>
      </c>
      <c r="AJ10" s="56">
        <f>SUM('SEA A棟1508:海老名Ⅱ1431'!AJ10)</f>
        <v>0</v>
      </c>
    </row>
    <row r="11" spans="1:37">
      <c r="A11" s="54" t="s">
        <v>10</v>
      </c>
      <c r="B11" s="63" t="s">
        <v>2</v>
      </c>
      <c r="C11" s="56">
        <f>SUM('SEA A棟1508:海老名Ⅱ1431'!C11)</f>
        <v>0</v>
      </c>
      <c r="D11" s="60">
        <f>SUM(D13*12/C3)</f>
        <v>-6.0268984289485036E-3</v>
      </c>
      <c r="E11" s="60">
        <f>SUM(E13*12/C3)</f>
        <v>-8.4052215824970708E-4</v>
      </c>
      <c r="F11" s="60">
        <f>SUM(F13*12/C3)</f>
        <v>-7.4663719554175876E-4</v>
      </c>
      <c r="G11" s="60">
        <f>SUM(G13*12/C3)</f>
        <v>-5.3325728007308131E-3</v>
      </c>
      <c r="H11" s="60">
        <f>SUM(H13*12/C3)</f>
        <v>-4.7754402234715691E-3</v>
      </c>
      <c r="I11" s="60">
        <f>SUM(I13*12/C3)</f>
        <v>-1.0750526338164934E-3</v>
      </c>
      <c r="J11" s="61">
        <f>SUM(J13*12/C3)</f>
        <v>3.6043067596354811E-3</v>
      </c>
      <c r="K11" s="60"/>
      <c r="L11" s="60">
        <f>SUM(L13*12/C3)</f>
        <v>3.641979211548576E-3</v>
      </c>
      <c r="M11" s="60">
        <f>SUM(M13*12/C3)</f>
        <v>3.6619324104728971E-3</v>
      </c>
      <c r="N11" s="61">
        <f>SUM(N13*12/C3)</f>
        <v>5.0673721090905739E-3</v>
      </c>
      <c r="O11" s="61">
        <f>SUM(O13*12/C3)</f>
        <v>7.7898498654597774E-3</v>
      </c>
      <c r="P11" s="61">
        <f>SUM(P13*12/C3)</f>
        <v>6.5451188835387525E-3</v>
      </c>
      <c r="Q11" s="61">
        <f>SUM(Q13*12/C3)</f>
        <v>1.0269686399371201E-2</v>
      </c>
      <c r="R11" s="61">
        <f>SUM(R13*12/C3)</f>
        <v>1.4305533972722766E-2</v>
      </c>
      <c r="S11" s="61">
        <f>SUM(S13*12/C3)</f>
        <v>1.2564989690898346E-2</v>
      </c>
      <c r="T11" s="61">
        <f>SUM(T13*12/C3)</f>
        <v>1.4018526922461673E-2</v>
      </c>
      <c r="U11" s="61">
        <f>SUM(U13*12/C3)</f>
        <v>4.3231846383531367E-3</v>
      </c>
      <c r="V11" s="61">
        <f>SUM(V13*12/C3)</f>
        <v>1.3709472348961683E-2</v>
      </c>
      <c r="W11" s="61">
        <f>SUM(W13*12/C3)</f>
        <v>1.3709370805964611E-2</v>
      </c>
      <c r="X11" s="86"/>
      <c r="Y11" s="60">
        <f>SUM(Y13*12/C3)</f>
        <v>1.3666024639090212E-2</v>
      </c>
      <c r="Z11" s="60">
        <f>SUM(Z13*12/C3)</f>
        <v>1.6222851919572009E-2</v>
      </c>
      <c r="AA11" s="61">
        <f>SUM(AA13*12/C3)</f>
        <v>1.6093528450886511E-2</v>
      </c>
      <c r="AB11" s="61">
        <f>SUM(AB13*12/C3)</f>
        <v>1.6071112834283235E-2</v>
      </c>
      <c r="AC11" s="61">
        <f>SUM(AC13*12/C3)</f>
        <v>1.6580884065325589E-2</v>
      </c>
      <c r="AD11" s="61">
        <f>SUM(AD13*12/C3)</f>
        <v>1.5613378158281217E-2</v>
      </c>
      <c r="AE11" s="61">
        <f>SUM(AE13*12/C3)</f>
        <v>1.7031840746273164E-2</v>
      </c>
      <c r="AF11" s="61">
        <f>SUM(AF13*12/C3)</f>
        <v>5.3310073461926452E-5</v>
      </c>
      <c r="AG11" s="61">
        <f>SUM(AG13*12/C3)</f>
        <v>1.4660714452641957E-2</v>
      </c>
      <c r="AH11" s="61">
        <f>SUM(AH13*12/C3)</f>
        <v>-2.9601095243048463E-3</v>
      </c>
      <c r="AI11" s="61">
        <f>SUM(AI13*12/C3)</f>
        <v>-2.9601095243048463E-3</v>
      </c>
      <c r="AJ11" s="61">
        <f>SUM(AJ13*12/C3)</f>
        <v>-2.9601095243048463E-3</v>
      </c>
    </row>
    <row r="12" spans="1:37">
      <c r="A12" s="54" t="s">
        <v>11</v>
      </c>
      <c r="B12" s="63" t="s">
        <v>2</v>
      </c>
      <c r="C12" s="56">
        <f>SUM('SEA A棟1508:海老名Ⅱ1431'!C12)</f>
        <v>0</v>
      </c>
      <c r="D12" s="60">
        <f>SUM(D13*12/D6)</f>
        <v>-7.5934582822837091E-2</v>
      </c>
      <c r="E12" s="60">
        <f t="shared" ref="E12:W12" si="0">SUM(E13*12/E6)</f>
        <v>-1.0609460623979695E-2</v>
      </c>
      <c r="F12" s="60">
        <f t="shared" si="0"/>
        <v>-8.0549459876548494E-3</v>
      </c>
      <c r="G12" s="60">
        <f t="shared" si="0"/>
        <v>-3.9192802876649384E-2</v>
      </c>
      <c r="H12" s="60">
        <f t="shared" si="0"/>
        <v>-3.5162848952161103E-2</v>
      </c>
      <c r="I12" s="60">
        <f t="shared" si="0"/>
        <v>-5.8063890144749311E-3</v>
      </c>
      <c r="J12" s="61">
        <f t="shared" si="0"/>
        <v>1.9502968477585352E-2</v>
      </c>
      <c r="K12" s="60"/>
      <c r="L12" s="60">
        <f t="shared" si="0"/>
        <v>1.7726693798714267E-2</v>
      </c>
      <c r="M12" s="60">
        <f t="shared" si="0"/>
        <v>1.6910930848259297E-2</v>
      </c>
      <c r="N12" s="61">
        <f t="shared" si="0"/>
        <v>2.3444764122527249E-2</v>
      </c>
      <c r="O12" s="61">
        <f t="shared" si="0"/>
        <v>3.6107676106189951E-2</v>
      </c>
      <c r="P12" s="61">
        <f t="shared" si="0"/>
        <v>2.5972590948472218E-2</v>
      </c>
      <c r="Q12" s="61">
        <f t="shared" si="0"/>
        <v>4.082851527484823E-2</v>
      </c>
      <c r="R12" s="61">
        <f t="shared" si="0"/>
        <v>5.6979762523556778E-2</v>
      </c>
      <c r="S12" s="61">
        <f t="shared" si="0"/>
        <v>5.0140697286748498E-2</v>
      </c>
      <c r="T12" s="61">
        <f t="shared" si="0"/>
        <v>5.6045894279129038E-2</v>
      </c>
      <c r="U12" s="61">
        <f t="shared" si="0"/>
        <v>1.73164922744364E-2</v>
      </c>
      <c r="V12" s="61">
        <f t="shared" si="0"/>
        <v>5.5016521321851544E-2</v>
      </c>
      <c r="W12" s="61">
        <f t="shared" si="0"/>
        <v>5.0636968074788506E-2</v>
      </c>
      <c r="X12" s="86"/>
      <c r="Y12" s="60">
        <f t="shared" ref="Y12:AJ12" si="1">SUM(Y13*12/Y6)</f>
        <v>3.0631522422673911E-2</v>
      </c>
      <c r="Z12" s="60">
        <f t="shared" si="1"/>
        <v>3.6433203294573349E-2</v>
      </c>
      <c r="AA12" s="61">
        <f t="shared" si="1"/>
        <v>3.6213194562406806E-2</v>
      </c>
      <c r="AB12" s="61">
        <f t="shared" si="1"/>
        <v>3.6233357396411925E-2</v>
      </c>
      <c r="AC12" s="61">
        <f t="shared" si="1"/>
        <v>3.7455795676156596E-2</v>
      </c>
      <c r="AD12" s="61">
        <f t="shared" si="1"/>
        <v>3.5342621832351782E-2</v>
      </c>
      <c r="AE12" s="61">
        <f t="shared" si="1"/>
        <v>3.8632768219317611E-2</v>
      </c>
      <c r="AF12" s="61">
        <f t="shared" si="1"/>
        <v>1.2117072733334936E-4</v>
      </c>
      <c r="AG12" s="61">
        <f t="shared" si="1"/>
        <v>3.3391782788406217E-2</v>
      </c>
      <c r="AH12" s="61">
        <f t="shared" si="1"/>
        <v>-6.7560077993282794E-3</v>
      </c>
      <c r="AI12" s="61">
        <f t="shared" si="1"/>
        <v>-6.7700190825811845E-3</v>
      </c>
      <c r="AJ12" s="61">
        <f t="shared" si="1"/>
        <v>-6.7840888931483111E-3</v>
      </c>
    </row>
    <row r="13" spans="1:37">
      <c r="A13" s="54" t="s">
        <v>12</v>
      </c>
      <c r="B13" s="63" t="s">
        <v>2</v>
      </c>
      <c r="C13" s="56">
        <f>SUM('SEA A棟1508:海老名Ⅱ1431'!C13)</f>
        <v>0</v>
      </c>
      <c r="D13" s="56">
        <f>SUM('SEA A棟1508:海老名Ⅱ1431'!D13)</f>
        <v>-1424476</v>
      </c>
      <c r="E13" s="56">
        <f>SUM('SEA A棟1508:海老名Ⅱ1431'!E13)</f>
        <v>-198660</v>
      </c>
      <c r="F13" s="56">
        <f>SUM('SEA A棟1508:海老名Ⅱ1431'!F13)</f>
        <v>-176470</v>
      </c>
      <c r="G13" s="56">
        <f>SUM('SEA A棟1508:海老名Ⅱ1431'!G13)</f>
        <v>-1260370</v>
      </c>
      <c r="H13" s="56">
        <f>SUM('SEA A棟1508:海老名Ⅱ1431'!H13)</f>
        <v>-1128690</v>
      </c>
      <c r="I13" s="56">
        <f>SUM('SEA A棟1508:海老名Ⅱ1431'!I13)</f>
        <v>-254092</v>
      </c>
      <c r="J13" s="56">
        <f>SUM('SEA A棟1508:海老名Ⅱ1431'!J13)</f>
        <v>851889</v>
      </c>
      <c r="K13" s="62">
        <f>SUM(D13:J13)</f>
        <v>-3590869</v>
      </c>
      <c r="L13" s="56">
        <f>SUM('SEA A棟1508:海老名Ⅱ1431'!L13)</f>
        <v>860793</v>
      </c>
      <c r="M13" s="56">
        <f>SUM('SEA A棟1508:海老名Ⅱ1431'!M13)</f>
        <v>865509</v>
      </c>
      <c r="N13" s="56">
        <f>SUM('SEA A棟1508:海老名Ⅱ1431'!N13)</f>
        <v>1197689</v>
      </c>
      <c r="O13" s="56">
        <f>SUM('SEA A棟1508:海老名Ⅱ1431'!O13)</f>
        <v>1841155</v>
      </c>
      <c r="P13" s="56">
        <f>SUM('SEA A棟1508:海老名Ⅱ1431'!P13)</f>
        <v>1546959</v>
      </c>
      <c r="Q13" s="56">
        <f>SUM('SEA A棟1508:海老名Ⅱ1431'!Q13)</f>
        <v>2427272</v>
      </c>
      <c r="R13" s="56">
        <f>SUM('SEA A棟1508:海老名Ⅱ1431'!R13)</f>
        <v>3381157</v>
      </c>
      <c r="S13" s="56">
        <f>SUM('SEA A棟1508:海老名Ⅱ1431'!S13)</f>
        <v>2969774</v>
      </c>
      <c r="T13" s="56">
        <f>SUM('SEA A棟1508:海老名Ⅱ1431'!T13)</f>
        <v>3313322</v>
      </c>
      <c r="U13" s="56">
        <f>SUM('SEA A棟1508:海老名Ⅱ1431'!U13)</f>
        <v>1021798</v>
      </c>
      <c r="V13" s="56">
        <f>SUM('SEA A棟1508:海老名Ⅱ1431'!V13)</f>
        <v>3240276</v>
      </c>
      <c r="W13" s="56">
        <f>SUM('SEA A棟1508:海老名Ⅱ1431'!W13)</f>
        <v>3240252</v>
      </c>
      <c r="X13" s="87">
        <f>SUM(K13:W13)</f>
        <v>22315087</v>
      </c>
      <c r="Y13" s="56">
        <f>SUM('SEA A棟1508:海老名Ⅱ1431'!Y13)</f>
        <v>3230007</v>
      </c>
      <c r="Z13" s="56">
        <f>SUM('SEA A棟1508:海老名Ⅱ1431'!Z13)</f>
        <v>3834321</v>
      </c>
      <c r="AA13" s="56">
        <f>SUM('SEA A棟1508:海老名Ⅱ1431'!AA13)</f>
        <v>3803755</v>
      </c>
      <c r="AB13" s="56">
        <f>SUM('SEA A棟1508:海老名Ⅱ1431'!AB13)</f>
        <v>3798457</v>
      </c>
      <c r="AC13" s="56">
        <f>SUM('SEA A棟1508:海老名Ⅱ1431'!AC13)</f>
        <v>3918943</v>
      </c>
      <c r="AD13" s="56">
        <f>SUM('SEA A棟1508:海老名Ⅱ1431'!AD13)</f>
        <v>3690270</v>
      </c>
      <c r="AE13" s="56">
        <f>SUM('SEA A棟1508:海老名Ⅱ1431'!AE13)</f>
        <v>4025528</v>
      </c>
      <c r="AF13" s="56">
        <f>SUM('SEA A棟1508:海老名Ⅱ1431'!AF13)</f>
        <v>12600</v>
      </c>
      <c r="AG13" s="56">
        <f>SUM('SEA A棟1508:海老名Ⅱ1431'!AG13)</f>
        <v>3465105</v>
      </c>
      <c r="AH13" s="56">
        <f>SUM('SEA A棟1508:海老名Ⅱ1431'!AH13)</f>
        <v>-699631</v>
      </c>
      <c r="AI13" s="56">
        <f>SUM('SEA A棟1508:海老名Ⅱ1431'!AI13)</f>
        <v>-699631</v>
      </c>
      <c r="AJ13" s="56">
        <f>SUM('SEA A棟1508:海老名Ⅱ1431'!AJ13)</f>
        <v>-699631</v>
      </c>
      <c r="AK13" s="87">
        <f>SUM(X13:AJ13)</f>
        <v>49995180</v>
      </c>
    </row>
    <row r="14" spans="1:37">
      <c r="A14" s="54" t="s">
        <v>13</v>
      </c>
      <c r="B14" s="63" t="s">
        <v>2</v>
      </c>
      <c r="C14" s="56">
        <f>SUM('SEA A棟1508:海老名Ⅱ1431'!C14)</f>
        <v>0</v>
      </c>
      <c r="D14" s="56">
        <f>SUM('SEA A棟1508:海老名Ⅱ1431'!D14)</f>
        <v>0</v>
      </c>
      <c r="E14" s="56">
        <f>SUM('SEA A棟1508:海老名Ⅱ1431'!E14)</f>
        <v>0</v>
      </c>
      <c r="F14" s="56">
        <f>SUM('SEA A棟1508:海老名Ⅱ1431'!F14)</f>
        <v>0</v>
      </c>
      <c r="G14" s="56">
        <f>SUM('SEA A棟1508:海老名Ⅱ1431'!G14)</f>
        <v>0</v>
      </c>
      <c r="H14" s="56">
        <f>SUM('SEA A棟1508:海老名Ⅱ1431'!H14)</f>
        <v>0</v>
      </c>
      <c r="I14" s="56">
        <f>SUM('SEA A棟1508:海老名Ⅱ1431'!I14)</f>
        <v>0</v>
      </c>
      <c r="J14" s="56">
        <f>SUM('SEA A棟1508:海老名Ⅱ1431'!J14)</f>
        <v>0</v>
      </c>
      <c r="K14" s="56"/>
      <c r="L14" s="56">
        <f>SUM('SEA A棟1508:海老名Ⅱ1431'!L14)</f>
        <v>0</v>
      </c>
      <c r="M14" s="56">
        <f>SUM('SEA A棟1508:海老名Ⅱ1431'!M14)</f>
        <v>0</v>
      </c>
      <c r="N14" s="56">
        <f>SUM('SEA A棟1508:海老名Ⅱ1431'!N14)</f>
        <v>0</v>
      </c>
      <c r="O14" s="56">
        <f>SUM('SEA A棟1508:海老名Ⅱ1431'!O14)</f>
        <v>0</v>
      </c>
      <c r="P14" s="56">
        <f>SUM('SEA A棟1508:海老名Ⅱ1431'!P14)</f>
        <v>0</v>
      </c>
      <c r="Q14" s="56">
        <f>SUM('SEA A棟1508:海老名Ⅱ1431'!Q14)</f>
        <v>0</v>
      </c>
      <c r="R14" s="56">
        <f>SUM('SEA A棟1508:海老名Ⅱ1431'!R14)</f>
        <v>0</v>
      </c>
      <c r="S14" s="56">
        <f>SUM('SEA A棟1508:海老名Ⅱ1431'!S14)</f>
        <v>0</v>
      </c>
      <c r="T14" s="56">
        <f>SUM('SEA A棟1508:海老名Ⅱ1431'!T14)</f>
        <v>0</v>
      </c>
      <c r="U14" s="56">
        <f>SUM('SEA A棟1508:海老名Ⅱ1431'!U14)</f>
        <v>0</v>
      </c>
      <c r="V14" s="56">
        <f>SUM('SEA A棟1508:海老名Ⅱ1431'!V14)</f>
        <v>0</v>
      </c>
      <c r="W14" s="56">
        <f>SUM('SEA A棟1508:海老名Ⅱ1431'!W14)</f>
        <v>0</v>
      </c>
      <c r="X14" s="86"/>
      <c r="Y14" s="56">
        <f>SUM('SEA A棟1508:海老名Ⅱ1431'!Y14)</f>
        <v>0</v>
      </c>
      <c r="Z14" s="56">
        <f>SUM('SEA A棟1508:海老名Ⅱ1431'!Z14)</f>
        <v>0</v>
      </c>
      <c r="AA14" s="56">
        <f>SUM('SEA A棟1508:海老名Ⅱ1431'!AA14)</f>
        <v>0</v>
      </c>
      <c r="AB14" s="56">
        <f>SUM('SEA A棟1508:海老名Ⅱ1431'!AB14)</f>
        <v>0</v>
      </c>
      <c r="AC14" s="56">
        <f>SUM('SEA A棟1508:海老名Ⅱ1431'!AC14)</f>
        <v>0</v>
      </c>
      <c r="AD14" s="56">
        <f>SUM('SEA A棟1508:海老名Ⅱ1431'!AD14)</f>
        <v>0</v>
      </c>
      <c r="AE14" s="56">
        <f>SUM('SEA A棟1508:海老名Ⅱ1431'!AE14)</f>
        <v>0</v>
      </c>
      <c r="AF14" s="56">
        <f>SUM('SEA A棟1508:海老名Ⅱ1431'!AF14)</f>
        <v>0</v>
      </c>
      <c r="AG14" s="56">
        <f>SUM('SEA A棟1508:海老名Ⅱ1431'!AG14)</f>
        <v>0</v>
      </c>
      <c r="AH14" s="56">
        <f>SUM('SEA A棟1508:海老名Ⅱ1431'!AH14)</f>
        <v>0</v>
      </c>
      <c r="AI14" s="56">
        <f>SUM('SEA A棟1508:海老名Ⅱ1431'!AI14)</f>
        <v>0</v>
      </c>
      <c r="AJ14" s="56">
        <f>SUM('SEA A棟1508:海老名Ⅱ1431'!AJ14)</f>
        <v>0</v>
      </c>
    </row>
    <row r="15" spans="1:37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</sheetData>
  <phoneticPr fontId="2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CE28-72C7-42D7-986C-0E2BA867CF2F}">
  <dimension ref="A1:AJ16"/>
  <sheetViews>
    <sheetView zoomScale="85" zoomScaleNormal="85" workbookViewId="0">
      <pane xSplit="3" ySplit="2" topLeftCell="Q3" activePane="bottomRight" state="frozen"/>
      <selection pane="topRight" activeCell="D1" sqref="D1"/>
      <selection pane="bottomLeft" activeCell="A3" sqref="A3"/>
      <selection pane="bottomRight" activeCell="AG8" sqref="AG8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5" t="s">
        <v>14</v>
      </c>
      <c r="B2" s="34"/>
      <c r="C2" s="31">
        <v>45310</v>
      </c>
      <c r="D2" s="13"/>
      <c r="E2" s="13"/>
      <c r="F2" s="13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>
      <c r="A3" s="26" t="s">
        <v>1</v>
      </c>
      <c r="B3" s="34" t="s">
        <v>2</v>
      </c>
      <c r="C3" s="12">
        <v>83200000</v>
      </c>
      <c r="D3" s="13"/>
      <c r="E3" s="13"/>
      <c r="F3" s="13"/>
      <c r="G3" s="12"/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>
      <c r="A4" s="26" t="s">
        <v>15</v>
      </c>
      <c r="B4" s="34" t="s">
        <v>2</v>
      </c>
      <c r="C4" s="12">
        <v>448000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/>
      <c r="L4" s="12">
        <v>0</v>
      </c>
      <c r="M4" s="12">
        <v>0</v>
      </c>
      <c r="N4" s="12">
        <v>838193</v>
      </c>
      <c r="O4" s="12">
        <v>448000</v>
      </c>
      <c r="P4" s="12">
        <v>448000</v>
      </c>
      <c r="Q4" s="12">
        <v>448000</v>
      </c>
      <c r="R4" s="12">
        <v>448000</v>
      </c>
      <c r="S4" s="12">
        <v>448000</v>
      </c>
      <c r="T4" s="12">
        <v>448000</v>
      </c>
      <c r="U4" s="12">
        <v>448000</v>
      </c>
      <c r="V4" s="12">
        <v>448000</v>
      </c>
      <c r="W4" s="12">
        <v>448000</v>
      </c>
      <c r="X4" s="12"/>
      <c r="Y4" s="12">
        <v>448000</v>
      </c>
      <c r="Z4" s="12">
        <v>448000</v>
      </c>
      <c r="AA4" s="12">
        <v>448000</v>
      </c>
      <c r="AB4" s="12">
        <v>448000</v>
      </c>
      <c r="AC4" s="12">
        <v>448000</v>
      </c>
      <c r="AD4" s="12">
        <v>448000</v>
      </c>
      <c r="AE4" s="12">
        <v>448000</v>
      </c>
      <c r="AF4" s="12">
        <v>448000</v>
      </c>
      <c r="AG4" s="12">
        <v>448000</v>
      </c>
      <c r="AH4" s="12"/>
      <c r="AI4" s="12"/>
      <c r="AJ4" s="12"/>
    </row>
    <row r="5" spans="1:36">
      <c r="A5" s="26" t="s">
        <v>4</v>
      </c>
      <c r="B5" s="34" t="s">
        <v>2</v>
      </c>
      <c r="C5" s="12"/>
      <c r="D5" s="12">
        <v>128778</v>
      </c>
      <c r="E5" s="12">
        <v>128775</v>
      </c>
      <c r="F5" s="12">
        <v>128775</v>
      </c>
      <c r="G5" s="12">
        <v>128775</v>
      </c>
      <c r="H5" s="12">
        <v>128775</v>
      </c>
      <c r="I5" s="12">
        <v>128775</v>
      </c>
      <c r="J5" s="12">
        <v>128778</v>
      </c>
      <c r="K5" s="13"/>
      <c r="L5" s="12">
        <v>128775</v>
      </c>
      <c r="M5" s="12">
        <v>128775</v>
      </c>
      <c r="N5" s="12">
        <v>128775</v>
      </c>
      <c r="O5" s="12">
        <v>128775</v>
      </c>
      <c r="P5" s="12">
        <v>128775</v>
      </c>
      <c r="Q5" s="12">
        <v>128780</v>
      </c>
      <c r="R5" s="12">
        <v>128775</v>
      </c>
      <c r="S5" s="12">
        <v>128775</v>
      </c>
      <c r="T5" s="12">
        <v>128775</v>
      </c>
      <c r="U5" s="12">
        <v>128775</v>
      </c>
      <c r="V5" s="12">
        <v>128775</v>
      </c>
      <c r="W5" s="12">
        <v>128781</v>
      </c>
      <c r="X5" s="13"/>
      <c r="Y5" s="12">
        <v>128775</v>
      </c>
      <c r="Z5" s="12">
        <v>128775</v>
      </c>
      <c r="AA5" s="12">
        <v>128775</v>
      </c>
      <c r="AB5" s="12">
        <v>128775</v>
      </c>
      <c r="AC5" s="12">
        <v>128775</v>
      </c>
      <c r="AD5" s="12">
        <v>128780</v>
      </c>
      <c r="AE5" s="12">
        <v>128775</v>
      </c>
      <c r="AF5" s="12">
        <v>128775</v>
      </c>
      <c r="AG5" s="12">
        <v>128775</v>
      </c>
      <c r="AH5" s="12">
        <v>128775</v>
      </c>
      <c r="AI5" s="12">
        <v>128775</v>
      </c>
      <c r="AJ5" s="12">
        <v>128781</v>
      </c>
    </row>
    <row r="6" spans="1:36">
      <c r="A6" s="26" t="s">
        <v>5</v>
      </c>
      <c r="B6" s="34" t="s">
        <v>2</v>
      </c>
      <c r="C6" s="12">
        <v>70241437</v>
      </c>
      <c r="D6" s="12">
        <f>C6-D5</f>
        <v>70112659</v>
      </c>
      <c r="E6" s="12">
        <f>D6-E5</f>
        <v>69983884</v>
      </c>
      <c r="F6" s="12">
        <f t="shared" ref="F6:J6" si="0">E6-F5</f>
        <v>69855109</v>
      </c>
      <c r="G6" s="12">
        <f t="shared" si="0"/>
        <v>69726334</v>
      </c>
      <c r="H6" s="12">
        <f t="shared" si="0"/>
        <v>69597559</v>
      </c>
      <c r="I6" s="12">
        <f t="shared" si="0"/>
        <v>69468784</v>
      </c>
      <c r="J6" s="12">
        <f t="shared" si="0"/>
        <v>69340006</v>
      </c>
      <c r="K6" s="13"/>
      <c r="L6" s="12">
        <f>J6-L5</f>
        <v>69211231</v>
      </c>
      <c r="M6" s="12">
        <f t="shared" ref="M6:W6" si="1">L6-M5</f>
        <v>69082456</v>
      </c>
      <c r="N6" s="12">
        <f t="shared" si="1"/>
        <v>68953681</v>
      </c>
      <c r="O6" s="12">
        <f t="shared" si="1"/>
        <v>68824906</v>
      </c>
      <c r="P6" s="12">
        <f t="shared" si="1"/>
        <v>68696131</v>
      </c>
      <c r="Q6" s="12">
        <f t="shared" si="1"/>
        <v>68567351</v>
      </c>
      <c r="R6" s="12">
        <f t="shared" si="1"/>
        <v>68438576</v>
      </c>
      <c r="S6" s="12">
        <f t="shared" si="1"/>
        <v>68309801</v>
      </c>
      <c r="T6" s="12">
        <f t="shared" si="1"/>
        <v>68181026</v>
      </c>
      <c r="U6" s="12">
        <f t="shared" si="1"/>
        <v>68052251</v>
      </c>
      <c r="V6" s="12">
        <f t="shared" si="1"/>
        <v>67923476</v>
      </c>
      <c r="W6" s="12">
        <f t="shared" si="1"/>
        <v>67794695</v>
      </c>
      <c r="X6" s="13"/>
      <c r="Y6" s="12">
        <f>W6-Y5</f>
        <v>67665920</v>
      </c>
      <c r="Z6" s="12">
        <f>Y6-Z5</f>
        <v>67537145</v>
      </c>
      <c r="AA6" s="12">
        <f t="shared" ref="AA6" si="2">Z6-AA5</f>
        <v>67408370</v>
      </c>
      <c r="AB6" s="12">
        <f t="shared" ref="AB6" si="3">AA6-AB5</f>
        <v>67279595</v>
      </c>
      <c r="AC6" s="12">
        <f t="shared" ref="AC6" si="4">AB6-AC5</f>
        <v>67150820</v>
      </c>
      <c r="AD6" s="12">
        <f t="shared" ref="AD6" si="5">AC6-AD5</f>
        <v>67022040</v>
      </c>
      <c r="AE6" s="12">
        <f t="shared" ref="AE6" si="6">AD6-AE5</f>
        <v>66893265</v>
      </c>
      <c r="AF6" s="12">
        <f t="shared" ref="AF6" si="7">AE6-AF5</f>
        <v>66764490</v>
      </c>
      <c r="AG6" s="12">
        <f t="shared" ref="AG6" si="8">AF6-AG5</f>
        <v>66635715</v>
      </c>
      <c r="AH6" s="12">
        <f t="shared" ref="AH6" si="9">AG6-AH5</f>
        <v>66506940</v>
      </c>
      <c r="AI6" s="12">
        <f t="shared" ref="AI6" si="10">AH6-AI5</f>
        <v>66378165</v>
      </c>
      <c r="AJ6" s="12">
        <f t="shared" ref="AJ6" si="11">AI6-AJ5</f>
        <v>66249384</v>
      </c>
    </row>
    <row r="7" spans="1:36">
      <c r="A7" s="38" t="s">
        <v>16</v>
      </c>
      <c r="B7" s="34" t="s">
        <v>2</v>
      </c>
      <c r="C7" s="12">
        <v>77250</v>
      </c>
      <c r="D7" s="13">
        <v>32117</v>
      </c>
      <c r="E7" s="13">
        <v>77250</v>
      </c>
      <c r="F7" s="13">
        <v>77250</v>
      </c>
      <c r="G7" s="12">
        <v>77250</v>
      </c>
      <c r="H7" s="12">
        <v>77250</v>
      </c>
      <c r="I7" s="12">
        <v>77250</v>
      </c>
      <c r="J7" s="12">
        <v>77250</v>
      </c>
      <c r="K7" s="13"/>
      <c r="L7" s="12">
        <v>77250</v>
      </c>
      <c r="M7" s="13">
        <v>77250</v>
      </c>
      <c r="N7" s="13">
        <v>77250</v>
      </c>
      <c r="O7" s="13">
        <v>77250</v>
      </c>
      <c r="P7" s="13">
        <v>77250</v>
      </c>
      <c r="Q7" s="13">
        <v>77250</v>
      </c>
      <c r="R7" s="13">
        <v>77250</v>
      </c>
      <c r="S7" s="13">
        <v>77250</v>
      </c>
      <c r="T7" s="13">
        <v>77250</v>
      </c>
      <c r="U7" s="13">
        <v>77250</v>
      </c>
      <c r="V7" s="13">
        <v>77250</v>
      </c>
      <c r="W7" s="13">
        <v>77250</v>
      </c>
      <c r="X7" s="13"/>
      <c r="Y7" s="12">
        <v>77250</v>
      </c>
      <c r="Z7" s="13">
        <v>77250</v>
      </c>
      <c r="AA7" s="13">
        <v>77250</v>
      </c>
      <c r="AB7" s="13">
        <v>77250</v>
      </c>
      <c r="AC7" s="13">
        <v>77250</v>
      </c>
      <c r="AD7" s="13">
        <v>77250</v>
      </c>
      <c r="AE7" s="13">
        <v>77250</v>
      </c>
      <c r="AF7" s="13">
        <v>77250</v>
      </c>
      <c r="AG7" s="13">
        <v>77250</v>
      </c>
      <c r="AH7" s="13">
        <v>77250</v>
      </c>
      <c r="AI7" s="13">
        <v>77250</v>
      </c>
      <c r="AJ7" s="13">
        <v>77250</v>
      </c>
    </row>
    <row r="8" spans="1:36">
      <c r="A8" s="26" t="s">
        <v>7</v>
      </c>
      <c r="B8" s="34" t="s">
        <v>2</v>
      </c>
      <c r="C8" s="12"/>
      <c r="D8" s="13">
        <v>0</v>
      </c>
      <c r="E8" s="13">
        <v>0</v>
      </c>
      <c r="F8" s="13">
        <v>0</v>
      </c>
      <c r="G8" s="12">
        <v>0</v>
      </c>
      <c r="H8" s="12">
        <v>0</v>
      </c>
      <c r="I8" s="12">
        <v>0</v>
      </c>
      <c r="J8" s="12">
        <v>0</v>
      </c>
      <c r="K8" s="13"/>
      <c r="L8" s="12">
        <v>0</v>
      </c>
      <c r="M8" s="13">
        <v>0</v>
      </c>
      <c r="N8" s="13">
        <v>8583</v>
      </c>
      <c r="O8" s="13">
        <v>9856</v>
      </c>
      <c r="P8" s="13">
        <v>9856</v>
      </c>
      <c r="Q8" s="13">
        <v>9856</v>
      </c>
      <c r="R8" s="13">
        <v>9856</v>
      </c>
      <c r="S8" s="13">
        <v>9856</v>
      </c>
      <c r="T8" s="13">
        <v>9856</v>
      </c>
      <c r="U8" s="13">
        <v>9856</v>
      </c>
      <c r="V8" s="13">
        <v>9856</v>
      </c>
      <c r="W8" s="13">
        <v>9856</v>
      </c>
      <c r="X8" s="13"/>
      <c r="Y8" s="12">
        <v>9856</v>
      </c>
      <c r="Z8" s="13">
        <v>9856</v>
      </c>
      <c r="AA8" s="13">
        <v>9856</v>
      </c>
      <c r="AB8" s="13">
        <v>9856</v>
      </c>
      <c r="AC8" s="13">
        <v>9856</v>
      </c>
      <c r="AD8" s="13">
        <v>9856</v>
      </c>
      <c r="AE8" s="13">
        <v>9856</v>
      </c>
      <c r="AF8" s="13">
        <v>9856</v>
      </c>
      <c r="AG8" s="13">
        <v>9856</v>
      </c>
      <c r="AH8" s="13"/>
      <c r="AI8" s="13"/>
      <c r="AJ8" s="13"/>
    </row>
    <row r="9" spans="1:36">
      <c r="A9" s="26" t="s">
        <v>8</v>
      </c>
      <c r="B9" s="34" t="s">
        <v>2</v>
      </c>
      <c r="C9" s="12">
        <v>2333600</v>
      </c>
      <c r="D9" s="13">
        <v>451000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/>
      <c r="L9" s="13">
        <v>0</v>
      </c>
      <c r="M9" s="13">
        <v>127000</v>
      </c>
      <c r="N9" s="13">
        <v>492800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238537</v>
      </c>
      <c r="V9" s="13">
        <v>0</v>
      </c>
      <c r="W9" s="13">
        <v>0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6">
      <c r="A10" s="26" t="s">
        <v>9</v>
      </c>
      <c r="B10" s="34" t="s">
        <v>2</v>
      </c>
      <c r="C10" s="14"/>
      <c r="D10" s="15"/>
      <c r="E10" s="15"/>
      <c r="F10" s="15"/>
      <c r="G10" s="14"/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>
      <c r="A11" s="26" t="s">
        <v>10</v>
      </c>
      <c r="B11" s="34" t="s">
        <v>2</v>
      </c>
      <c r="C11" s="16"/>
      <c r="D11" s="17"/>
      <c r="E11" s="17"/>
      <c r="F11" s="17"/>
      <c r="G11" s="16"/>
      <c r="H11" s="16"/>
      <c r="I11" s="16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spans="1:36">
      <c r="A12" s="26" t="s">
        <v>11</v>
      </c>
      <c r="B12" s="34" t="s">
        <v>2</v>
      </c>
      <c r="C12" s="16"/>
      <c r="D12" s="17"/>
      <c r="E12" s="17"/>
      <c r="F12" s="17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 spans="1:36">
      <c r="A13" s="26" t="s">
        <v>12</v>
      </c>
      <c r="B13" s="34" t="s">
        <v>2</v>
      </c>
      <c r="C13" s="16"/>
      <c r="D13" s="30">
        <f>SUM(D4-D7-D8-D9)</f>
        <v>-483117</v>
      </c>
      <c r="E13" s="30">
        <f t="shared" ref="E13:J13" si="12">SUM(E4-E7-E8-E9)</f>
        <v>-77250</v>
      </c>
      <c r="F13" s="30">
        <f t="shared" si="12"/>
        <v>-77250</v>
      </c>
      <c r="G13" s="30">
        <f t="shared" si="12"/>
        <v>-77250</v>
      </c>
      <c r="H13" s="30">
        <f t="shared" si="12"/>
        <v>-77250</v>
      </c>
      <c r="I13" s="30">
        <f t="shared" si="12"/>
        <v>-77250</v>
      </c>
      <c r="J13" s="30">
        <f t="shared" si="12"/>
        <v>-77250</v>
      </c>
      <c r="K13" s="30"/>
      <c r="L13" s="30">
        <f>SUM(L4-L7-L8-L9)</f>
        <v>-77250</v>
      </c>
      <c r="M13" s="30">
        <f t="shared" ref="M13:W13" si="13">SUM(M4-M7-M8-M9)</f>
        <v>-204250</v>
      </c>
      <c r="N13" s="30">
        <f t="shared" si="13"/>
        <v>259560</v>
      </c>
      <c r="O13" s="30">
        <f t="shared" si="13"/>
        <v>360894</v>
      </c>
      <c r="P13" s="30">
        <f t="shared" si="13"/>
        <v>360894</v>
      </c>
      <c r="Q13" s="30">
        <f t="shared" si="13"/>
        <v>360894</v>
      </c>
      <c r="R13" s="30">
        <f t="shared" si="13"/>
        <v>360894</v>
      </c>
      <c r="S13" s="30">
        <f t="shared" si="13"/>
        <v>360894</v>
      </c>
      <c r="T13" s="30">
        <f t="shared" si="13"/>
        <v>360894</v>
      </c>
      <c r="U13" s="30">
        <f t="shared" si="13"/>
        <v>122357</v>
      </c>
      <c r="V13" s="30">
        <f t="shared" si="13"/>
        <v>360894</v>
      </c>
      <c r="W13" s="30">
        <f t="shared" si="13"/>
        <v>360894</v>
      </c>
      <c r="X13" s="30"/>
      <c r="Y13" s="30">
        <f>SUM(Y4-Y7-Y8-Y9)</f>
        <v>360894</v>
      </c>
      <c r="Z13" s="30">
        <f t="shared" ref="Z13:AJ13" si="14">SUM(Z4-Z7-Z8-Z9)</f>
        <v>360894</v>
      </c>
      <c r="AA13" s="30">
        <f t="shared" si="14"/>
        <v>360894</v>
      </c>
      <c r="AB13" s="30">
        <f t="shared" si="14"/>
        <v>360894</v>
      </c>
      <c r="AC13" s="30">
        <f t="shared" si="14"/>
        <v>360894</v>
      </c>
      <c r="AD13" s="30">
        <f t="shared" si="14"/>
        <v>360894</v>
      </c>
      <c r="AE13" s="30">
        <f t="shared" si="14"/>
        <v>360894</v>
      </c>
      <c r="AF13" s="30">
        <f t="shared" si="14"/>
        <v>360894</v>
      </c>
      <c r="AG13" s="30">
        <f t="shared" si="14"/>
        <v>360894</v>
      </c>
      <c r="AH13" s="30">
        <f t="shared" si="14"/>
        <v>-77250</v>
      </c>
      <c r="AI13" s="30">
        <f t="shared" si="14"/>
        <v>-77250</v>
      </c>
      <c r="AJ13" s="30">
        <f t="shared" si="14"/>
        <v>-77250</v>
      </c>
    </row>
    <row r="14" spans="1:36">
      <c r="A14" s="26" t="s">
        <v>13</v>
      </c>
      <c r="B14" s="34" t="s">
        <v>2</v>
      </c>
      <c r="C14" s="16"/>
      <c r="D14" s="17"/>
      <c r="E14" s="17"/>
      <c r="F14" s="17"/>
      <c r="G14" s="16"/>
      <c r="H14" s="16"/>
      <c r="I14" s="16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  <row r="15" spans="1:36">
      <c r="A15" s="24" t="s">
        <v>17</v>
      </c>
      <c r="N15" t="s">
        <v>18</v>
      </c>
    </row>
    <row r="16" spans="1:36">
      <c r="N16" t="s">
        <v>19</v>
      </c>
    </row>
  </sheetData>
  <phoneticPr fontId="2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28FB-0189-4307-93A4-09AEBE06987B}">
  <dimension ref="A1:AJ16"/>
  <sheetViews>
    <sheetView zoomScale="85" zoomScaleNormal="85" workbookViewId="0">
      <pane xSplit="3" ySplit="2" topLeftCell="V3" activePane="bottomRight" state="frozen"/>
      <selection pane="topRight" activeCell="D1" sqref="D1"/>
      <selection pane="bottomLeft" activeCell="A3" sqref="A3"/>
      <selection pane="bottomRight" activeCell="AG8" sqref="AG8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7" t="s">
        <v>20</v>
      </c>
      <c r="B2" s="35"/>
      <c r="C2" s="32">
        <v>45310</v>
      </c>
      <c r="D2" s="19"/>
      <c r="E2" s="19"/>
      <c r="F2" s="19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spans="1:36">
      <c r="A3" s="28" t="s">
        <v>1</v>
      </c>
      <c r="B3" s="35" t="s">
        <v>2</v>
      </c>
      <c r="C3" s="18">
        <v>81600000</v>
      </c>
      <c r="D3" s="19"/>
      <c r="E3" s="19"/>
      <c r="F3" s="19"/>
      <c r="G3" s="18"/>
      <c r="H3" s="18"/>
      <c r="I3" s="18"/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</row>
    <row r="4" spans="1:36">
      <c r="A4" s="28" t="s">
        <v>15</v>
      </c>
      <c r="B4" s="35" t="s">
        <v>2</v>
      </c>
      <c r="C4" s="18">
        <v>400000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/>
      <c r="L4" s="18">
        <v>0</v>
      </c>
      <c r="M4" s="18">
        <v>0</v>
      </c>
      <c r="N4" s="18">
        <v>0</v>
      </c>
      <c r="O4" s="18">
        <v>0</v>
      </c>
      <c r="P4" s="18">
        <v>477419</v>
      </c>
      <c r="Q4" s="18">
        <v>400000</v>
      </c>
      <c r="R4" s="18">
        <v>400000</v>
      </c>
      <c r="S4" s="18">
        <v>400000</v>
      </c>
      <c r="T4" s="18">
        <v>400000</v>
      </c>
      <c r="U4" s="18">
        <v>400000</v>
      </c>
      <c r="V4" s="18">
        <v>400000</v>
      </c>
      <c r="W4" s="18">
        <v>400000</v>
      </c>
      <c r="X4" s="18"/>
      <c r="Y4" s="18">
        <v>400000</v>
      </c>
      <c r="Z4" s="18">
        <v>400000</v>
      </c>
      <c r="AA4" s="18">
        <v>400000</v>
      </c>
      <c r="AB4" s="18">
        <v>400000</v>
      </c>
      <c r="AC4" s="18">
        <v>400000</v>
      </c>
      <c r="AD4" s="18">
        <v>400000</v>
      </c>
      <c r="AE4" s="18">
        <v>400000</v>
      </c>
      <c r="AF4" s="18">
        <v>400000</v>
      </c>
      <c r="AG4" s="18">
        <v>400000</v>
      </c>
      <c r="AH4" s="18"/>
      <c r="AI4" s="18"/>
      <c r="AJ4" s="18"/>
    </row>
    <row r="5" spans="1:36">
      <c r="A5" s="28" t="s">
        <v>4</v>
      </c>
      <c r="B5" s="35" t="s">
        <v>2</v>
      </c>
      <c r="C5" s="18"/>
      <c r="D5" s="18">
        <v>126186</v>
      </c>
      <c r="E5" s="18">
        <v>126186</v>
      </c>
      <c r="F5" s="18">
        <v>126186</v>
      </c>
      <c r="G5" s="18">
        <v>126186</v>
      </c>
      <c r="H5" s="18">
        <v>126186</v>
      </c>
      <c r="I5" s="18">
        <v>126186</v>
      </c>
      <c r="J5" s="18">
        <v>126186</v>
      </c>
      <c r="K5" s="19"/>
      <c r="L5" s="18">
        <v>126186</v>
      </c>
      <c r="M5" s="18">
        <v>126186</v>
      </c>
      <c r="N5" s="18">
        <v>126186</v>
      </c>
      <c r="O5" s="18">
        <v>126186</v>
      </c>
      <c r="P5" s="18">
        <v>126186</v>
      </c>
      <c r="Q5" s="18">
        <v>126186</v>
      </c>
      <c r="R5" s="18">
        <v>126186</v>
      </c>
      <c r="S5" s="18">
        <v>126186</v>
      </c>
      <c r="T5" s="18">
        <v>126186</v>
      </c>
      <c r="U5" s="18">
        <v>126186</v>
      </c>
      <c r="V5" s="18">
        <v>126186</v>
      </c>
      <c r="W5" s="18">
        <v>126186</v>
      </c>
      <c r="X5" s="19"/>
      <c r="Y5" s="18">
        <v>126186</v>
      </c>
      <c r="Z5" s="18">
        <v>126186</v>
      </c>
      <c r="AA5" s="18">
        <v>126186</v>
      </c>
      <c r="AB5" s="18">
        <v>126186</v>
      </c>
      <c r="AC5" s="18">
        <v>126186</v>
      </c>
      <c r="AD5" s="18">
        <v>126186</v>
      </c>
      <c r="AE5" s="18">
        <v>126186</v>
      </c>
      <c r="AF5" s="18">
        <v>126186</v>
      </c>
      <c r="AG5" s="18">
        <v>126186</v>
      </c>
      <c r="AH5" s="18">
        <v>126186</v>
      </c>
      <c r="AI5" s="18">
        <v>126186</v>
      </c>
      <c r="AJ5" s="18">
        <v>126186</v>
      </c>
    </row>
    <row r="6" spans="1:36">
      <c r="A6" s="28" t="s">
        <v>5</v>
      </c>
      <c r="B6" s="35" t="s">
        <v>2</v>
      </c>
      <c r="C6" s="18">
        <v>68828736</v>
      </c>
      <c r="D6" s="18">
        <f>SUM(C6-D5)</f>
        <v>68702550</v>
      </c>
      <c r="E6" s="18">
        <f>SUM(D6-E5)</f>
        <v>68576364</v>
      </c>
      <c r="F6" s="18">
        <f t="shared" ref="F6:J6" si="0">SUM(E6-F5)</f>
        <v>68450178</v>
      </c>
      <c r="G6" s="18">
        <f t="shared" si="0"/>
        <v>68323992</v>
      </c>
      <c r="H6" s="18">
        <f t="shared" si="0"/>
        <v>68197806</v>
      </c>
      <c r="I6" s="18">
        <f t="shared" si="0"/>
        <v>68071620</v>
      </c>
      <c r="J6" s="18">
        <f t="shared" si="0"/>
        <v>67945434</v>
      </c>
      <c r="K6" s="19"/>
      <c r="L6" s="18">
        <f>SUM(J6-L5)</f>
        <v>67819248</v>
      </c>
      <c r="M6" s="18">
        <f t="shared" ref="M6:W6" si="1">SUM(L6-M5)</f>
        <v>67693062</v>
      </c>
      <c r="N6" s="18">
        <f t="shared" si="1"/>
        <v>67566876</v>
      </c>
      <c r="O6" s="18">
        <f t="shared" si="1"/>
        <v>67440690</v>
      </c>
      <c r="P6" s="18">
        <f t="shared" si="1"/>
        <v>67314504</v>
      </c>
      <c r="Q6" s="18">
        <f t="shared" si="1"/>
        <v>67188318</v>
      </c>
      <c r="R6" s="18">
        <f t="shared" si="1"/>
        <v>67062132</v>
      </c>
      <c r="S6" s="18">
        <f t="shared" si="1"/>
        <v>66935946</v>
      </c>
      <c r="T6" s="18">
        <f t="shared" si="1"/>
        <v>66809760</v>
      </c>
      <c r="U6" s="18">
        <f t="shared" si="1"/>
        <v>66683574</v>
      </c>
      <c r="V6" s="18">
        <f t="shared" si="1"/>
        <v>66557388</v>
      </c>
      <c r="W6" s="18">
        <f t="shared" si="1"/>
        <v>66431202</v>
      </c>
      <c r="X6" s="19"/>
      <c r="Y6" s="18">
        <f>SUM(W6-Y5)</f>
        <v>66305016</v>
      </c>
      <c r="Z6" s="18">
        <f t="shared" ref="Z6" si="2">SUM(Y6-Z5)</f>
        <v>66178830</v>
      </c>
      <c r="AA6" s="18">
        <f t="shared" ref="AA6" si="3">SUM(Z6-AA5)</f>
        <v>66052644</v>
      </c>
      <c r="AB6" s="18">
        <f t="shared" ref="AB6" si="4">SUM(AA6-AB5)</f>
        <v>65926458</v>
      </c>
      <c r="AC6" s="18">
        <f t="shared" ref="AC6" si="5">SUM(AB6-AC5)</f>
        <v>65800272</v>
      </c>
      <c r="AD6" s="18">
        <f t="shared" ref="AD6" si="6">SUM(AC6-AD5)</f>
        <v>65674086</v>
      </c>
      <c r="AE6" s="18">
        <f t="shared" ref="AE6" si="7">SUM(AD6-AE5)</f>
        <v>65547900</v>
      </c>
      <c r="AF6" s="18">
        <f t="shared" ref="AF6" si="8">SUM(AE6-AF5)</f>
        <v>65421714</v>
      </c>
      <c r="AG6" s="18">
        <f t="shared" ref="AG6" si="9">SUM(AF6-AG5)</f>
        <v>65295528</v>
      </c>
      <c r="AH6" s="18">
        <f t="shared" ref="AH6" si="10">SUM(AG6-AH5)</f>
        <v>65169342</v>
      </c>
      <c r="AI6" s="18">
        <f t="shared" ref="AI6" si="11">SUM(AH6-AI5)</f>
        <v>65043156</v>
      </c>
      <c r="AJ6" s="18">
        <f t="shared" ref="AJ6" si="12">SUM(AI6-AJ5)</f>
        <v>64916970</v>
      </c>
    </row>
    <row r="7" spans="1:36">
      <c r="A7" s="28" t="s">
        <v>16</v>
      </c>
      <c r="B7" s="35" t="s">
        <v>2</v>
      </c>
      <c r="C7" s="18">
        <v>47020</v>
      </c>
      <c r="D7" s="19">
        <v>19441</v>
      </c>
      <c r="E7" s="19">
        <v>47020</v>
      </c>
      <c r="F7" s="19">
        <v>47020</v>
      </c>
      <c r="G7" s="18">
        <v>47020</v>
      </c>
      <c r="H7" s="18">
        <v>47020</v>
      </c>
      <c r="I7" s="18">
        <v>47020</v>
      </c>
      <c r="J7" s="18">
        <v>47020</v>
      </c>
      <c r="K7" s="19"/>
      <c r="L7" s="18">
        <v>47020</v>
      </c>
      <c r="M7" s="19">
        <v>47020</v>
      </c>
      <c r="N7" s="19">
        <v>47020</v>
      </c>
      <c r="O7" s="19">
        <v>47020</v>
      </c>
      <c r="P7" s="19">
        <v>47020</v>
      </c>
      <c r="Q7" s="19">
        <v>47020</v>
      </c>
      <c r="R7" s="19">
        <v>47020</v>
      </c>
      <c r="S7" s="19">
        <v>47020</v>
      </c>
      <c r="T7" s="19">
        <v>47020</v>
      </c>
      <c r="U7" s="19">
        <v>47020</v>
      </c>
      <c r="V7" s="19">
        <v>47020</v>
      </c>
      <c r="W7" s="19">
        <v>47020</v>
      </c>
      <c r="X7" s="19"/>
      <c r="Y7" s="18">
        <v>47020</v>
      </c>
      <c r="Z7" s="19">
        <v>47020</v>
      </c>
      <c r="AA7" s="19">
        <v>47020</v>
      </c>
      <c r="AB7" s="19">
        <v>47020</v>
      </c>
      <c r="AC7" s="19">
        <v>47020</v>
      </c>
      <c r="AD7" s="19">
        <v>47020</v>
      </c>
      <c r="AE7" s="19">
        <v>47020</v>
      </c>
      <c r="AF7" s="19">
        <v>47020</v>
      </c>
      <c r="AG7" s="19">
        <v>47020</v>
      </c>
      <c r="AH7" s="19">
        <v>47020</v>
      </c>
      <c r="AI7" s="19">
        <v>47020</v>
      </c>
      <c r="AJ7" s="19">
        <v>47020</v>
      </c>
    </row>
    <row r="8" spans="1:36">
      <c r="A8" s="28" t="s">
        <v>7</v>
      </c>
      <c r="B8" s="35" t="s">
        <v>2</v>
      </c>
      <c r="C8" s="18"/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/>
      <c r="L8" s="18">
        <v>0</v>
      </c>
      <c r="M8" s="19">
        <v>0</v>
      </c>
      <c r="N8" s="19">
        <v>0</v>
      </c>
      <c r="O8" s="19">
        <v>0</v>
      </c>
      <c r="P8" s="19">
        <v>1702</v>
      </c>
      <c r="Q8" s="19">
        <v>8800</v>
      </c>
      <c r="R8" s="19">
        <v>8800</v>
      </c>
      <c r="S8" s="19">
        <v>8800</v>
      </c>
      <c r="T8" s="19">
        <v>8800</v>
      </c>
      <c r="U8" s="19">
        <v>8800</v>
      </c>
      <c r="V8" s="19">
        <v>8800</v>
      </c>
      <c r="W8" s="19">
        <v>8800</v>
      </c>
      <c r="X8" s="19"/>
      <c r="Y8" s="18">
        <v>8800</v>
      </c>
      <c r="Z8" s="19">
        <v>8800</v>
      </c>
      <c r="AA8" s="19">
        <v>8800</v>
      </c>
      <c r="AB8" s="19">
        <v>8800</v>
      </c>
      <c r="AC8" s="19">
        <v>8800</v>
      </c>
      <c r="AD8" s="19">
        <v>8800</v>
      </c>
      <c r="AE8" s="19">
        <v>8800</v>
      </c>
      <c r="AF8" s="19">
        <v>8800</v>
      </c>
      <c r="AG8" s="19">
        <v>8800</v>
      </c>
      <c r="AH8" s="19"/>
      <c r="AI8" s="19"/>
      <c r="AJ8" s="19"/>
    </row>
    <row r="9" spans="1:36">
      <c r="A9" s="28" t="s">
        <v>8</v>
      </c>
      <c r="B9" s="35" t="s">
        <v>2</v>
      </c>
      <c r="C9" s="18">
        <v>2322800</v>
      </c>
      <c r="D9" s="19">
        <v>451000</v>
      </c>
      <c r="E9" s="19">
        <v>0</v>
      </c>
      <c r="F9" s="19">
        <v>0</v>
      </c>
      <c r="G9" s="18">
        <v>0</v>
      </c>
      <c r="H9" s="18">
        <v>0</v>
      </c>
      <c r="I9" s="18">
        <v>0</v>
      </c>
      <c r="J9" s="18">
        <v>0</v>
      </c>
      <c r="K9" s="19"/>
      <c r="L9" s="19">
        <v>0</v>
      </c>
      <c r="M9" s="19">
        <v>0</v>
      </c>
      <c r="N9" s="19">
        <v>127000</v>
      </c>
      <c r="O9" s="19">
        <v>1273</v>
      </c>
      <c r="P9" s="19">
        <v>443108</v>
      </c>
      <c r="Q9" s="19">
        <v>0</v>
      </c>
      <c r="R9" s="19">
        <v>0</v>
      </c>
      <c r="S9" s="19">
        <v>0</v>
      </c>
      <c r="T9" s="19">
        <v>0</v>
      </c>
      <c r="U9" s="19">
        <v>238489</v>
      </c>
      <c r="V9" s="19">
        <v>0</v>
      </c>
      <c r="W9" s="19">
        <v>0</v>
      </c>
      <c r="X9" s="19"/>
      <c r="Y9" s="19">
        <v>0</v>
      </c>
      <c r="Z9" s="19">
        <v>0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</row>
    <row r="10" spans="1:36">
      <c r="A10" s="28" t="s">
        <v>9</v>
      </c>
      <c r="B10" s="35" t="s">
        <v>2</v>
      </c>
      <c r="C10" s="20"/>
      <c r="D10" s="21"/>
      <c r="E10" s="21"/>
      <c r="F10" s="21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 spans="1:36">
      <c r="A11" s="28" t="s">
        <v>10</v>
      </c>
      <c r="B11" s="35" t="s">
        <v>2</v>
      </c>
      <c r="C11" s="22"/>
      <c r="D11" s="23"/>
      <c r="E11" s="23"/>
      <c r="F11" s="23"/>
      <c r="G11" s="22"/>
      <c r="H11" s="22"/>
      <c r="I11" s="22"/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>
      <c r="A12" s="28" t="s">
        <v>11</v>
      </c>
      <c r="B12" s="35" t="s">
        <v>2</v>
      </c>
      <c r="C12" s="22"/>
      <c r="D12" s="23"/>
      <c r="E12" s="23"/>
      <c r="F12" s="23"/>
      <c r="G12" s="22"/>
      <c r="H12" s="22"/>
      <c r="I12" s="22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>
      <c r="A13" s="28" t="s">
        <v>12</v>
      </c>
      <c r="B13" s="35" t="s">
        <v>2</v>
      </c>
      <c r="C13" s="22"/>
      <c r="D13" s="29">
        <f>SUM(D4-D7-D8-D9)</f>
        <v>-470441</v>
      </c>
      <c r="E13" s="29">
        <f t="shared" ref="E13:J13" si="13">SUM(E4-E7-E8-E9)</f>
        <v>-47020</v>
      </c>
      <c r="F13" s="29">
        <f t="shared" si="13"/>
        <v>-47020</v>
      </c>
      <c r="G13" s="29">
        <f t="shared" si="13"/>
        <v>-47020</v>
      </c>
      <c r="H13" s="29">
        <f t="shared" si="13"/>
        <v>-47020</v>
      </c>
      <c r="I13" s="29">
        <f t="shared" si="13"/>
        <v>-47020</v>
      </c>
      <c r="J13" s="29">
        <f t="shared" si="13"/>
        <v>-47020</v>
      </c>
      <c r="K13" s="29"/>
      <c r="L13" s="29">
        <f>SUM(L4-L7-L8-L9)</f>
        <v>-47020</v>
      </c>
      <c r="M13" s="29">
        <f t="shared" ref="M13:W13" si="14">SUM(M4-M7-M8-M9)</f>
        <v>-47020</v>
      </c>
      <c r="N13" s="29">
        <f t="shared" si="14"/>
        <v>-174020</v>
      </c>
      <c r="O13" s="29">
        <f t="shared" si="14"/>
        <v>-48293</v>
      </c>
      <c r="P13" s="29">
        <f t="shared" si="14"/>
        <v>-14411</v>
      </c>
      <c r="Q13" s="29">
        <f t="shared" si="14"/>
        <v>344180</v>
      </c>
      <c r="R13" s="29">
        <f t="shared" si="14"/>
        <v>344180</v>
      </c>
      <c r="S13" s="29">
        <f t="shared" si="14"/>
        <v>344180</v>
      </c>
      <c r="T13" s="29">
        <f t="shared" si="14"/>
        <v>344180</v>
      </c>
      <c r="U13" s="29">
        <f t="shared" si="14"/>
        <v>105691</v>
      </c>
      <c r="V13" s="29">
        <f t="shared" si="14"/>
        <v>344180</v>
      </c>
      <c r="W13" s="29">
        <f t="shared" si="14"/>
        <v>344180</v>
      </c>
      <c r="X13" s="29"/>
      <c r="Y13" s="29">
        <f>SUM(Y4-Y7-Y8-Y9)</f>
        <v>344180</v>
      </c>
      <c r="Z13" s="29">
        <f t="shared" ref="Z13:AJ13" si="15">SUM(Z4-Z7-Z8-Z9)</f>
        <v>344180</v>
      </c>
      <c r="AA13" s="29">
        <f t="shared" si="15"/>
        <v>344180</v>
      </c>
      <c r="AB13" s="29">
        <f t="shared" si="15"/>
        <v>344180</v>
      </c>
      <c r="AC13" s="29">
        <f t="shared" si="15"/>
        <v>344180</v>
      </c>
      <c r="AD13" s="29">
        <f t="shared" si="15"/>
        <v>344180</v>
      </c>
      <c r="AE13" s="29">
        <f t="shared" si="15"/>
        <v>344180</v>
      </c>
      <c r="AF13" s="29">
        <f t="shared" si="15"/>
        <v>344180</v>
      </c>
      <c r="AG13" s="29">
        <f t="shared" si="15"/>
        <v>344180</v>
      </c>
      <c r="AH13" s="29">
        <f t="shared" si="15"/>
        <v>-47020</v>
      </c>
      <c r="AI13" s="29">
        <f t="shared" si="15"/>
        <v>-47020</v>
      </c>
      <c r="AJ13" s="29">
        <f t="shared" si="15"/>
        <v>-47020</v>
      </c>
    </row>
    <row r="14" spans="1:36">
      <c r="A14" s="28" t="s">
        <v>13</v>
      </c>
      <c r="B14" s="35" t="s">
        <v>2</v>
      </c>
      <c r="C14" s="22"/>
      <c r="D14" s="23"/>
      <c r="E14" s="23"/>
      <c r="F14" s="23"/>
      <c r="G14" s="22"/>
      <c r="H14" s="22"/>
      <c r="I14" s="22"/>
      <c r="J14" s="2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</row>
    <row r="15" spans="1:36">
      <c r="A15" s="24" t="s">
        <v>21</v>
      </c>
      <c r="P15" t="s">
        <v>22</v>
      </c>
    </row>
    <row r="16" spans="1:36">
      <c r="P16" t="s">
        <v>23</v>
      </c>
    </row>
  </sheetData>
  <phoneticPr fontId="2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95DB-4D61-485A-9916-93CE8D4C6F04}">
  <dimension ref="A1:AJ16"/>
  <sheetViews>
    <sheetView zoomScale="85" zoomScaleNormal="85" workbookViewId="0">
      <pane xSplit="3" ySplit="2" topLeftCell="V3" activePane="bottomRight" state="frozen"/>
      <selection pane="topRight" activeCell="D1" sqref="D1"/>
      <selection pane="bottomLeft" activeCell="A3" sqref="A3"/>
      <selection pane="bottomRight" activeCell="AG8" sqref="AG8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5" t="s">
        <v>24</v>
      </c>
      <c r="B2" s="34"/>
      <c r="C2" s="31">
        <v>45310</v>
      </c>
      <c r="D2" s="13"/>
      <c r="E2" s="13"/>
      <c r="F2" s="13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>
      <c r="A3" s="26" t="s">
        <v>1</v>
      </c>
      <c r="B3" s="34" t="s">
        <v>2</v>
      </c>
      <c r="C3" s="12">
        <v>99300000</v>
      </c>
      <c r="D3" s="13"/>
      <c r="E3" s="13"/>
      <c r="F3" s="13"/>
      <c r="G3" s="12"/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>
      <c r="A4" s="26" t="s">
        <v>15</v>
      </c>
      <c r="B4" s="34" t="s">
        <v>2</v>
      </c>
      <c r="C4" s="12">
        <v>458000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/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801500</v>
      </c>
      <c r="S4" s="12">
        <v>458000</v>
      </c>
      <c r="T4" s="12">
        <v>458000</v>
      </c>
      <c r="U4" s="12">
        <v>458000</v>
      </c>
      <c r="V4" s="12">
        <v>458000</v>
      </c>
      <c r="W4" s="12">
        <v>458000</v>
      </c>
      <c r="X4" s="12"/>
      <c r="Y4" s="12">
        <v>458000</v>
      </c>
      <c r="Z4" s="12">
        <v>458000</v>
      </c>
      <c r="AA4" s="12">
        <v>458000</v>
      </c>
      <c r="AB4" s="12">
        <v>458000</v>
      </c>
      <c r="AC4" s="12">
        <v>458000</v>
      </c>
      <c r="AD4" s="12">
        <v>458000</v>
      </c>
      <c r="AE4" s="12">
        <v>458000</v>
      </c>
      <c r="AF4" s="12">
        <v>458000</v>
      </c>
      <c r="AG4" s="12">
        <v>458000</v>
      </c>
      <c r="AH4" s="12"/>
      <c r="AI4" s="12"/>
      <c r="AJ4" s="12"/>
    </row>
    <row r="5" spans="1:36">
      <c r="A5" s="26" t="s">
        <v>4</v>
      </c>
      <c r="B5" s="34" t="s">
        <v>2</v>
      </c>
      <c r="C5" s="12"/>
      <c r="D5" s="13">
        <v>158501</v>
      </c>
      <c r="E5" s="13">
        <v>158499</v>
      </c>
      <c r="F5" s="13">
        <v>158499</v>
      </c>
      <c r="G5" s="13">
        <v>158499</v>
      </c>
      <c r="H5" s="13">
        <v>158499</v>
      </c>
      <c r="I5" s="13">
        <v>158499</v>
      </c>
      <c r="J5" s="12">
        <v>158501</v>
      </c>
      <c r="K5" s="13"/>
      <c r="L5" s="13">
        <v>158499</v>
      </c>
      <c r="M5" s="13">
        <v>158499</v>
      </c>
      <c r="N5" s="13">
        <v>158499</v>
      </c>
      <c r="O5" s="13">
        <v>158499</v>
      </c>
      <c r="P5" s="13">
        <v>158499</v>
      </c>
      <c r="Q5" s="13">
        <v>158502</v>
      </c>
      <c r="R5" s="13">
        <v>158499</v>
      </c>
      <c r="S5" s="13">
        <v>158499</v>
      </c>
      <c r="T5" s="13">
        <v>158499</v>
      </c>
      <c r="U5" s="13">
        <v>158499</v>
      </c>
      <c r="V5" s="13">
        <v>158499</v>
      </c>
      <c r="W5" s="13">
        <v>158503</v>
      </c>
      <c r="X5" s="13"/>
      <c r="Y5" s="13">
        <v>158499</v>
      </c>
      <c r="Z5" s="13">
        <v>158499</v>
      </c>
      <c r="AA5" s="13">
        <v>158499</v>
      </c>
      <c r="AB5" s="13">
        <v>158499</v>
      </c>
      <c r="AC5" s="13">
        <v>158499</v>
      </c>
      <c r="AD5" s="13">
        <v>158502</v>
      </c>
      <c r="AE5" s="13">
        <v>158499</v>
      </c>
      <c r="AF5" s="13">
        <v>158499</v>
      </c>
      <c r="AG5" s="13">
        <v>158499</v>
      </c>
      <c r="AH5" s="13">
        <v>158499</v>
      </c>
      <c r="AI5" s="13">
        <v>158499</v>
      </c>
      <c r="AJ5" s="13">
        <v>158503</v>
      </c>
    </row>
    <row r="6" spans="1:36">
      <c r="A6" s="26" t="s">
        <v>5</v>
      </c>
      <c r="B6" s="34" t="s">
        <v>2</v>
      </c>
      <c r="C6" s="12">
        <v>86454320</v>
      </c>
      <c r="D6" s="12">
        <f>SUM(C6-D5)</f>
        <v>86295819</v>
      </c>
      <c r="E6" s="12">
        <f>SUM(D6-E5)</f>
        <v>86137320</v>
      </c>
      <c r="F6" s="12">
        <f t="shared" ref="F6:J6" si="0">SUM(E6-F5)</f>
        <v>85978821</v>
      </c>
      <c r="G6" s="12">
        <f t="shared" si="0"/>
        <v>85820322</v>
      </c>
      <c r="H6" s="12">
        <f t="shared" si="0"/>
        <v>85661823</v>
      </c>
      <c r="I6" s="12">
        <f t="shared" si="0"/>
        <v>85503324</v>
      </c>
      <c r="J6" s="12">
        <f t="shared" si="0"/>
        <v>85344823</v>
      </c>
      <c r="K6" s="13"/>
      <c r="L6" s="12">
        <f>SUM(J6-L5)</f>
        <v>85186324</v>
      </c>
      <c r="M6" s="12">
        <f t="shared" ref="M6:W6" si="1">SUM(L6-M5)</f>
        <v>85027825</v>
      </c>
      <c r="N6" s="12">
        <f t="shared" si="1"/>
        <v>84869326</v>
      </c>
      <c r="O6" s="12">
        <f t="shared" si="1"/>
        <v>84710827</v>
      </c>
      <c r="P6" s="12">
        <f t="shared" si="1"/>
        <v>84552328</v>
      </c>
      <c r="Q6" s="12">
        <f t="shared" si="1"/>
        <v>84393826</v>
      </c>
      <c r="R6" s="12">
        <f t="shared" si="1"/>
        <v>84235327</v>
      </c>
      <c r="S6" s="12">
        <f t="shared" si="1"/>
        <v>84076828</v>
      </c>
      <c r="T6" s="12">
        <f t="shared" si="1"/>
        <v>83918329</v>
      </c>
      <c r="U6" s="12">
        <f t="shared" si="1"/>
        <v>83759830</v>
      </c>
      <c r="V6" s="12">
        <f t="shared" si="1"/>
        <v>83601331</v>
      </c>
      <c r="W6" s="12">
        <f t="shared" si="1"/>
        <v>83442828</v>
      </c>
      <c r="X6" s="13"/>
      <c r="Y6" s="12">
        <f>SUM(W6-Y5)</f>
        <v>83284329</v>
      </c>
      <c r="Z6" s="12">
        <f t="shared" ref="Z6" si="2">SUM(Y6-Z5)</f>
        <v>83125830</v>
      </c>
      <c r="AA6" s="12">
        <f t="shared" ref="AA6" si="3">SUM(Z6-AA5)</f>
        <v>82967331</v>
      </c>
      <c r="AB6" s="12">
        <f t="shared" ref="AB6" si="4">SUM(AA6-AB5)</f>
        <v>82808832</v>
      </c>
      <c r="AC6" s="12">
        <f t="shared" ref="AC6" si="5">SUM(AB6-AC5)</f>
        <v>82650333</v>
      </c>
      <c r="AD6" s="12">
        <f t="shared" ref="AD6" si="6">SUM(AC6-AD5)</f>
        <v>82491831</v>
      </c>
      <c r="AE6" s="12">
        <f t="shared" ref="AE6" si="7">SUM(AD6-AE5)</f>
        <v>82333332</v>
      </c>
      <c r="AF6" s="12">
        <f t="shared" ref="AF6" si="8">SUM(AE6-AF5)</f>
        <v>82174833</v>
      </c>
      <c r="AG6" s="12">
        <f t="shared" ref="AG6" si="9">SUM(AF6-AG5)</f>
        <v>82016334</v>
      </c>
      <c r="AH6" s="12">
        <f t="shared" ref="AH6" si="10">SUM(AG6-AH5)</f>
        <v>81857835</v>
      </c>
      <c r="AI6" s="12">
        <f t="shared" ref="AI6" si="11">SUM(AH6-AI5)</f>
        <v>81699336</v>
      </c>
      <c r="AJ6" s="12">
        <f t="shared" ref="AJ6" si="12">SUM(AI6-AJ5)</f>
        <v>81540833</v>
      </c>
    </row>
    <row r="7" spans="1:36">
      <c r="A7" s="26" t="s">
        <v>16</v>
      </c>
      <c r="B7" s="34" t="s">
        <v>2</v>
      </c>
      <c r="C7" s="12">
        <v>74390</v>
      </c>
      <c r="D7" s="13">
        <v>30918</v>
      </c>
      <c r="E7" s="13">
        <v>74390</v>
      </c>
      <c r="F7" s="13">
        <v>74390</v>
      </c>
      <c r="G7" s="12">
        <v>74390</v>
      </c>
      <c r="H7" s="12">
        <v>74390</v>
      </c>
      <c r="I7" s="12">
        <v>74390</v>
      </c>
      <c r="J7" s="12">
        <v>74390</v>
      </c>
      <c r="K7" s="13"/>
      <c r="L7" s="12">
        <v>74390</v>
      </c>
      <c r="M7" s="12">
        <v>74390</v>
      </c>
      <c r="N7" s="12">
        <v>74390</v>
      </c>
      <c r="O7" s="12">
        <v>74390</v>
      </c>
      <c r="P7" s="12">
        <v>74390</v>
      </c>
      <c r="Q7" s="12">
        <v>74390</v>
      </c>
      <c r="R7" s="12">
        <v>74390</v>
      </c>
      <c r="S7" s="12">
        <v>74390</v>
      </c>
      <c r="T7" s="12">
        <v>74390</v>
      </c>
      <c r="U7" s="12">
        <v>74390</v>
      </c>
      <c r="V7" s="12">
        <v>74390</v>
      </c>
      <c r="W7" s="12">
        <v>74390</v>
      </c>
      <c r="X7" s="13"/>
      <c r="Y7" s="12">
        <v>74390</v>
      </c>
      <c r="Z7" s="12">
        <v>74390</v>
      </c>
      <c r="AA7" s="12">
        <v>74390</v>
      </c>
      <c r="AB7" s="12">
        <v>74390</v>
      </c>
      <c r="AC7" s="12">
        <v>74390</v>
      </c>
      <c r="AD7" s="12">
        <v>74390</v>
      </c>
      <c r="AE7" s="12">
        <v>74390</v>
      </c>
      <c r="AF7" s="12">
        <v>74390</v>
      </c>
      <c r="AG7" s="12">
        <v>74390</v>
      </c>
      <c r="AH7" s="12">
        <v>74390</v>
      </c>
      <c r="AI7" s="12">
        <v>74390</v>
      </c>
      <c r="AJ7" s="12">
        <v>74390</v>
      </c>
    </row>
    <row r="8" spans="1:36">
      <c r="A8" s="26" t="s">
        <v>7</v>
      </c>
      <c r="B8" s="34" t="s">
        <v>2</v>
      </c>
      <c r="C8" s="12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3">
        <v>7557</v>
      </c>
      <c r="S8" s="13">
        <v>10076</v>
      </c>
      <c r="T8" s="13">
        <v>10076</v>
      </c>
      <c r="U8" s="13">
        <v>10076</v>
      </c>
      <c r="V8" s="12">
        <v>10076</v>
      </c>
      <c r="W8" s="12">
        <v>10076</v>
      </c>
      <c r="X8" s="13"/>
      <c r="Y8" s="12">
        <v>10076</v>
      </c>
      <c r="Z8" s="12">
        <v>10076</v>
      </c>
      <c r="AA8" s="12">
        <v>10076</v>
      </c>
      <c r="AB8" s="12">
        <v>10076</v>
      </c>
      <c r="AC8" s="12">
        <v>10076</v>
      </c>
      <c r="AD8" s="12">
        <v>10076</v>
      </c>
      <c r="AE8" s="12">
        <v>10076</v>
      </c>
      <c r="AF8" s="12">
        <v>10076</v>
      </c>
      <c r="AG8" s="12">
        <v>10076</v>
      </c>
      <c r="AH8" s="13"/>
      <c r="AI8" s="12"/>
      <c r="AJ8" s="12"/>
    </row>
    <row r="9" spans="1:36">
      <c r="A9" s="26" t="s">
        <v>8</v>
      </c>
      <c r="B9" s="34" t="s">
        <v>2</v>
      </c>
      <c r="C9" s="12">
        <v>1844400</v>
      </c>
      <c r="D9" s="13">
        <v>440000</v>
      </c>
      <c r="E9" s="13">
        <v>0</v>
      </c>
      <c r="F9" s="13">
        <v>0</v>
      </c>
      <c r="G9" s="12">
        <v>0</v>
      </c>
      <c r="H9" s="12">
        <v>0</v>
      </c>
      <c r="I9" s="12">
        <v>0</v>
      </c>
      <c r="J9" s="12">
        <v>0</v>
      </c>
      <c r="K9" s="13"/>
      <c r="L9" s="13">
        <v>0</v>
      </c>
      <c r="M9" s="13">
        <v>0</v>
      </c>
      <c r="N9" s="13">
        <v>127000</v>
      </c>
      <c r="O9" s="13">
        <v>0</v>
      </c>
      <c r="P9" s="13">
        <v>1896</v>
      </c>
      <c r="Q9" s="13">
        <v>5076</v>
      </c>
      <c r="R9" s="13">
        <v>504795</v>
      </c>
      <c r="S9" s="13"/>
      <c r="T9" s="13">
        <v>0</v>
      </c>
      <c r="U9" s="13">
        <v>196177</v>
      </c>
      <c r="V9" s="13">
        <v>0</v>
      </c>
      <c r="W9" s="13">
        <v>0</v>
      </c>
      <c r="X9" s="13"/>
      <c r="Y9" s="13">
        <v>0</v>
      </c>
      <c r="Z9" s="13">
        <v>0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6">
      <c r="A10" s="26" t="s">
        <v>9</v>
      </c>
      <c r="B10" s="34" t="s">
        <v>2</v>
      </c>
      <c r="C10" s="14"/>
      <c r="D10" s="15"/>
      <c r="E10" s="15"/>
      <c r="F10" s="15"/>
      <c r="G10" s="14"/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>
      <c r="A11" s="26" t="s">
        <v>10</v>
      </c>
      <c r="B11" s="34" t="s">
        <v>2</v>
      </c>
      <c r="C11" s="16"/>
      <c r="D11" s="17"/>
      <c r="E11" s="17"/>
      <c r="F11" s="17"/>
      <c r="G11" s="16"/>
      <c r="H11" s="16"/>
      <c r="I11" s="16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spans="1:36">
      <c r="A12" s="26" t="s">
        <v>11</v>
      </c>
      <c r="B12" s="34" t="s">
        <v>2</v>
      </c>
      <c r="C12" s="16"/>
      <c r="D12" s="17"/>
      <c r="E12" s="17"/>
      <c r="F12" s="17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 spans="1:36">
      <c r="A13" s="26" t="s">
        <v>12</v>
      </c>
      <c r="B13" s="34" t="s">
        <v>2</v>
      </c>
      <c r="C13" s="16"/>
      <c r="D13" s="30">
        <f>SUM(D4-D7-D8-D9)</f>
        <v>-470918</v>
      </c>
      <c r="E13" s="30">
        <f t="shared" ref="E13:J13" si="13">SUM(E4-E7-E8-E9)</f>
        <v>-74390</v>
      </c>
      <c r="F13" s="30">
        <f t="shared" si="13"/>
        <v>-74390</v>
      </c>
      <c r="G13" s="30">
        <f t="shared" si="13"/>
        <v>-74390</v>
      </c>
      <c r="H13" s="30">
        <f t="shared" si="13"/>
        <v>-74390</v>
      </c>
      <c r="I13" s="30">
        <f t="shared" si="13"/>
        <v>-74390</v>
      </c>
      <c r="J13" s="30">
        <f t="shared" si="13"/>
        <v>-74390</v>
      </c>
      <c r="K13" s="30"/>
      <c r="L13" s="30">
        <f>SUM(L4-L7-L8-L9)</f>
        <v>-74390</v>
      </c>
      <c r="M13" s="30">
        <f t="shared" ref="M13:W13" si="14">SUM(M4-M7-M8-M9)</f>
        <v>-74390</v>
      </c>
      <c r="N13" s="30">
        <f t="shared" si="14"/>
        <v>-201390</v>
      </c>
      <c r="O13" s="30">
        <f t="shared" si="14"/>
        <v>-74390</v>
      </c>
      <c r="P13" s="30">
        <f t="shared" si="14"/>
        <v>-76286</v>
      </c>
      <c r="Q13" s="30">
        <f t="shared" si="14"/>
        <v>-79466</v>
      </c>
      <c r="R13" s="30">
        <f t="shared" si="14"/>
        <v>214758</v>
      </c>
      <c r="S13" s="30">
        <f t="shared" si="14"/>
        <v>373534</v>
      </c>
      <c r="T13" s="30">
        <f t="shared" si="14"/>
        <v>373534</v>
      </c>
      <c r="U13" s="30">
        <f t="shared" si="14"/>
        <v>177357</v>
      </c>
      <c r="V13" s="30">
        <f t="shared" si="14"/>
        <v>373534</v>
      </c>
      <c r="W13" s="30">
        <f t="shared" si="14"/>
        <v>373534</v>
      </c>
      <c r="X13" s="30"/>
      <c r="Y13" s="30">
        <f>SUM(Y4-Y7-Y8-Y9)</f>
        <v>373534</v>
      </c>
      <c r="Z13" s="30">
        <f t="shared" ref="Z13:AJ13" si="15">SUM(Z4-Z7-Z8-Z9)</f>
        <v>373534</v>
      </c>
      <c r="AA13" s="30">
        <f t="shared" si="15"/>
        <v>373534</v>
      </c>
      <c r="AB13" s="30">
        <f t="shared" si="15"/>
        <v>373534</v>
      </c>
      <c r="AC13" s="30">
        <f t="shared" si="15"/>
        <v>373534</v>
      </c>
      <c r="AD13" s="30">
        <f t="shared" si="15"/>
        <v>373534</v>
      </c>
      <c r="AE13" s="30">
        <f t="shared" si="15"/>
        <v>373534</v>
      </c>
      <c r="AF13" s="30">
        <f t="shared" si="15"/>
        <v>373534</v>
      </c>
      <c r="AG13" s="30">
        <f t="shared" si="15"/>
        <v>373534</v>
      </c>
      <c r="AH13" s="30">
        <f t="shared" si="15"/>
        <v>-74390</v>
      </c>
      <c r="AI13" s="30">
        <f t="shared" si="15"/>
        <v>-74390</v>
      </c>
      <c r="AJ13" s="30">
        <f t="shared" si="15"/>
        <v>-74390</v>
      </c>
    </row>
    <row r="14" spans="1:36">
      <c r="A14" s="26" t="s">
        <v>13</v>
      </c>
      <c r="B14" s="34" t="s">
        <v>2</v>
      </c>
      <c r="C14" s="16"/>
      <c r="D14" s="17"/>
      <c r="E14" s="17"/>
      <c r="F14" s="17"/>
      <c r="G14" s="16"/>
      <c r="H14" s="16"/>
      <c r="I14" s="16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  <row r="15" spans="1:36">
      <c r="A15" s="24" t="s">
        <v>25</v>
      </c>
      <c r="R15" t="s">
        <v>26</v>
      </c>
    </row>
    <row r="16" spans="1:36">
      <c r="R16" t="s">
        <v>27</v>
      </c>
    </row>
  </sheetData>
  <phoneticPr fontId="2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FBFF-AF1B-4577-B564-89D496EE6D25}">
  <dimension ref="A1:AJ16"/>
  <sheetViews>
    <sheetView zoomScale="85" zoomScaleNormal="85" workbookViewId="0">
      <pane xSplit="3" ySplit="2" topLeftCell="V3" activePane="bottomRight" state="frozen"/>
      <selection pane="topRight" activeCell="D1" sqref="D1"/>
      <selection pane="bottomLeft" activeCell="A3" sqref="A3"/>
      <selection pane="bottomRight" activeCell="AG8" sqref="AG8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7" width="10.19921875" customWidth="1"/>
    <col min="28" max="29" width="11.3984375" bestFit="1" customWidth="1"/>
    <col min="30" max="36" width="10.19921875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7" t="s">
        <v>28</v>
      </c>
      <c r="B2" s="35"/>
      <c r="C2" s="32">
        <v>45359</v>
      </c>
      <c r="D2" s="19"/>
      <c r="E2" s="19"/>
      <c r="F2" s="19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spans="1:36">
      <c r="A3" s="28" t="s">
        <v>1</v>
      </c>
      <c r="B3" s="35" t="s">
        <v>2</v>
      </c>
      <c r="C3" s="18">
        <v>61200000</v>
      </c>
      <c r="D3" s="19"/>
      <c r="E3" s="19"/>
      <c r="F3" s="19"/>
      <c r="G3" s="18"/>
      <c r="H3" s="18"/>
      <c r="I3" s="18"/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</row>
    <row r="4" spans="1:36">
      <c r="A4" s="28" t="s">
        <v>15</v>
      </c>
      <c r="B4" s="35" t="s">
        <v>2</v>
      </c>
      <c r="C4" s="18">
        <v>275000</v>
      </c>
      <c r="D4" s="18">
        <v>0</v>
      </c>
      <c r="E4" s="18">
        <v>0</v>
      </c>
      <c r="F4" s="18">
        <v>197419</v>
      </c>
      <c r="G4" s="18">
        <v>255000</v>
      </c>
      <c r="H4" s="18">
        <v>255000</v>
      </c>
      <c r="I4" s="18">
        <v>255000</v>
      </c>
      <c r="J4" s="18">
        <v>255000</v>
      </c>
      <c r="K4" s="18"/>
      <c r="L4" s="18">
        <v>0</v>
      </c>
      <c r="M4" s="18">
        <v>0</v>
      </c>
      <c r="N4" s="18">
        <v>0</v>
      </c>
      <c r="O4" s="18">
        <v>0</v>
      </c>
      <c r="P4" s="18">
        <v>345967</v>
      </c>
      <c r="Q4" s="18">
        <v>275000</v>
      </c>
      <c r="R4" s="18">
        <v>275000</v>
      </c>
      <c r="S4" s="18">
        <v>275000</v>
      </c>
      <c r="T4" s="18">
        <v>275000</v>
      </c>
      <c r="U4" s="18">
        <v>275000</v>
      </c>
      <c r="V4" s="18">
        <v>275000</v>
      </c>
      <c r="W4" s="18">
        <v>275000</v>
      </c>
      <c r="X4" s="18"/>
      <c r="Y4" s="18">
        <v>275000</v>
      </c>
      <c r="Z4" s="18">
        <v>275000</v>
      </c>
      <c r="AA4" s="18">
        <v>275000</v>
      </c>
      <c r="AB4" s="18">
        <v>275000</v>
      </c>
      <c r="AC4" s="18">
        <v>275000</v>
      </c>
      <c r="AD4" s="18">
        <v>275000</v>
      </c>
      <c r="AE4" s="18">
        <v>275000</v>
      </c>
      <c r="AF4" s="18">
        <v>275000</v>
      </c>
      <c r="AG4" s="18">
        <v>275000</v>
      </c>
      <c r="AH4" s="18"/>
      <c r="AI4" s="18"/>
      <c r="AJ4" s="18"/>
    </row>
    <row r="5" spans="1:36">
      <c r="A5" s="28" t="s">
        <v>4</v>
      </c>
      <c r="B5" s="35" t="s">
        <v>2</v>
      </c>
      <c r="C5" s="18"/>
      <c r="D5" s="18"/>
      <c r="E5" s="18"/>
      <c r="F5" s="18">
        <v>70924</v>
      </c>
      <c r="G5" s="18">
        <v>70924</v>
      </c>
      <c r="H5" s="18">
        <v>70924</v>
      </c>
      <c r="I5" s="18">
        <v>70924</v>
      </c>
      <c r="J5" s="18">
        <v>70926</v>
      </c>
      <c r="K5" s="19"/>
      <c r="L5" s="18">
        <v>70924</v>
      </c>
      <c r="M5" s="18">
        <v>70924</v>
      </c>
      <c r="N5" s="18">
        <v>70924</v>
      </c>
      <c r="O5" s="18">
        <v>70924</v>
      </c>
      <c r="P5" s="18">
        <v>70924</v>
      </c>
      <c r="Q5" s="18">
        <v>70927</v>
      </c>
      <c r="R5" s="18">
        <v>70924</v>
      </c>
      <c r="S5" s="18">
        <v>70924</v>
      </c>
      <c r="T5" s="18">
        <v>70924</v>
      </c>
      <c r="U5" s="18">
        <v>70924</v>
      </c>
      <c r="V5" s="18">
        <v>70924</v>
      </c>
      <c r="W5" s="18">
        <v>70928</v>
      </c>
      <c r="X5" s="19"/>
      <c r="Y5" s="18">
        <v>70924</v>
      </c>
      <c r="Z5" s="18">
        <v>70924</v>
      </c>
      <c r="AA5" s="18">
        <v>70924</v>
      </c>
      <c r="AB5" s="18">
        <v>70924</v>
      </c>
      <c r="AC5" s="18">
        <v>70924</v>
      </c>
      <c r="AD5" s="18">
        <v>70927</v>
      </c>
      <c r="AE5" s="18">
        <v>70924</v>
      </c>
      <c r="AF5" s="18">
        <v>70924</v>
      </c>
      <c r="AG5" s="18">
        <v>70924</v>
      </c>
      <c r="AH5" s="18">
        <v>70924</v>
      </c>
      <c r="AI5" s="18">
        <v>70924</v>
      </c>
      <c r="AJ5" s="18">
        <v>70928</v>
      </c>
    </row>
    <row r="6" spans="1:36">
      <c r="A6" s="28" t="s">
        <v>5</v>
      </c>
      <c r="B6" s="35" t="s">
        <v>2</v>
      </c>
      <c r="C6" s="18">
        <v>38686158</v>
      </c>
      <c r="D6" s="18"/>
      <c r="E6" s="18"/>
      <c r="F6" s="18">
        <f>SUM(C6-F5)</f>
        <v>38615234</v>
      </c>
      <c r="G6" s="18">
        <f t="shared" ref="G6:J6" si="0">SUM(F6-G5)</f>
        <v>38544310</v>
      </c>
      <c r="H6" s="18">
        <f t="shared" si="0"/>
        <v>38473386</v>
      </c>
      <c r="I6" s="18">
        <f t="shared" si="0"/>
        <v>38402462</v>
      </c>
      <c r="J6" s="18">
        <f t="shared" si="0"/>
        <v>38331536</v>
      </c>
      <c r="K6" s="19"/>
      <c r="L6" s="18">
        <f>SUM(J6-L5)</f>
        <v>38260612</v>
      </c>
      <c r="M6" s="18">
        <f t="shared" ref="M6:W6" si="1">SUM(L6-M5)</f>
        <v>38189688</v>
      </c>
      <c r="N6" s="18">
        <f t="shared" si="1"/>
        <v>38118764</v>
      </c>
      <c r="O6" s="18">
        <f t="shared" si="1"/>
        <v>38047840</v>
      </c>
      <c r="P6" s="18">
        <f t="shared" si="1"/>
        <v>37976916</v>
      </c>
      <c r="Q6" s="18">
        <f t="shared" si="1"/>
        <v>37905989</v>
      </c>
      <c r="R6" s="18">
        <f t="shared" si="1"/>
        <v>37835065</v>
      </c>
      <c r="S6" s="18">
        <f t="shared" si="1"/>
        <v>37764141</v>
      </c>
      <c r="T6" s="18">
        <f t="shared" si="1"/>
        <v>37693217</v>
      </c>
      <c r="U6" s="18">
        <f t="shared" si="1"/>
        <v>37622293</v>
      </c>
      <c r="V6" s="18">
        <f t="shared" si="1"/>
        <v>37551369</v>
      </c>
      <c r="W6" s="18">
        <f t="shared" si="1"/>
        <v>37480441</v>
      </c>
      <c r="X6" s="19"/>
      <c r="Y6" s="18">
        <f>SUM(W6-Y5)</f>
        <v>37409517</v>
      </c>
      <c r="Z6" s="18">
        <f t="shared" ref="Z6" si="2">SUM(Y6-Z5)</f>
        <v>37338593</v>
      </c>
      <c r="AA6" s="18">
        <f t="shared" ref="AA6" si="3">SUM(Z6-AA5)</f>
        <v>37267669</v>
      </c>
      <c r="AB6" s="18">
        <f t="shared" ref="AB6" si="4">SUM(AA6-AB5)</f>
        <v>37196745</v>
      </c>
      <c r="AC6" s="18">
        <f t="shared" ref="AC6" si="5">SUM(AB6-AC5)</f>
        <v>37125821</v>
      </c>
      <c r="AD6" s="18">
        <f t="shared" ref="AD6" si="6">SUM(AC6-AD5)</f>
        <v>37054894</v>
      </c>
      <c r="AE6" s="18">
        <f t="shared" ref="AE6" si="7">SUM(AD6-AE5)</f>
        <v>36983970</v>
      </c>
      <c r="AF6" s="18">
        <f t="shared" ref="AF6" si="8">SUM(AE6-AF5)</f>
        <v>36913046</v>
      </c>
      <c r="AG6" s="18">
        <f t="shared" ref="AG6" si="9">SUM(AF6-AG5)</f>
        <v>36842122</v>
      </c>
      <c r="AH6" s="18">
        <f t="shared" ref="AH6" si="10">SUM(AG6-AH5)</f>
        <v>36771198</v>
      </c>
      <c r="AI6" s="18">
        <f t="shared" ref="AI6" si="11">SUM(AH6-AI5)</f>
        <v>36700274</v>
      </c>
      <c r="AJ6" s="18">
        <f t="shared" ref="AJ6" si="12">SUM(AI6-AJ5)</f>
        <v>36629346</v>
      </c>
    </row>
    <row r="7" spans="1:36">
      <c r="A7" s="28" t="s">
        <v>16</v>
      </c>
      <c r="B7" s="35" t="s">
        <v>2</v>
      </c>
      <c r="C7" s="18">
        <v>40710</v>
      </c>
      <c r="D7" s="19"/>
      <c r="E7" s="19"/>
      <c r="F7" s="19">
        <v>31517</v>
      </c>
      <c r="G7" s="18">
        <v>40710</v>
      </c>
      <c r="H7" s="18">
        <v>40710</v>
      </c>
      <c r="I7" s="18">
        <v>40710</v>
      </c>
      <c r="J7" s="18">
        <v>40710</v>
      </c>
      <c r="K7" s="19"/>
      <c r="L7" s="18">
        <v>40710</v>
      </c>
      <c r="M7" s="19">
        <v>40710</v>
      </c>
      <c r="N7" s="19">
        <v>40710</v>
      </c>
      <c r="O7" s="19">
        <v>40710</v>
      </c>
      <c r="P7" s="19">
        <v>40710</v>
      </c>
      <c r="Q7" s="19">
        <v>40710</v>
      </c>
      <c r="R7" s="19">
        <v>40710</v>
      </c>
      <c r="S7" s="19">
        <v>40710</v>
      </c>
      <c r="T7" s="19">
        <v>40710</v>
      </c>
      <c r="U7" s="19">
        <v>40710</v>
      </c>
      <c r="V7" s="19">
        <v>40710</v>
      </c>
      <c r="W7" s="19">
        <v>40710</v>
      </c>
      <c r="X7" s="19"/>
      <c r="Y7" s="18">
        <v>40310</v>
      </c>
      <c r="Z7" s="19">
        <v>40310</v>
      </c>
      <c r="AA7" s="19">
        <v>40310</v>
      </c>
      <c r="AB7" s="19">
        <v>40310</v>
      </c>
      <c r="AC7" s="19">
        <v>40310</v>
      </c>
      <c r="AD7" s="19">
        <v>40310</v>
      </c>
      <c r="AE7" s="19">
        <v>40310</v>
      </c>
      <c r="AF7" s="19">
        <v>40310</v>
      </c>
      <c r="AG7" s="19">
        <v>40310</v>
      </c>
      <c r="AH7" s="19">
        <v>40310</v>
      </c>
      <c r="AI7" s="19">
        <v>40310</v>
      </c>
      <c r="AJ7" s="19">
        <v>40310</v>
      </c>
    </row>
    <row r="8" spans="1:36">
      <c r="A8" s="28" t="s">
        <v>7</v>
      </c>
      <c r="B8" s="35" t="s">
        <v>2</v>
      </c>
      <c r="C8" s="18"/>
      <c r="D8" s="19"/>
      <c r="E8" s="19"/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/>
      <c r="L8" s="18">
        <v>0</v>
      </c>
      <c r="M8" s="19">
        <v>0</v>
      </c>
      <c r="N8" s="19">
        <v>0</v>
      </c>
      <c r="O8" s="19">
        <v>0</v>
      </c>
      <c r="P8" s="19">
        <v>1560</v>
      </c>
      <c r="Q8" s="19">
        <v>6050</v>
      </c>
      <c r="R8" s="19">
        <v>6050</v>
      </c>
      <c r="S8" s="19">
        <v>6050</v>
      </c>
      <c r="T8" s="19">
        <v>6050</v>
      </c>
      <c r="U8" s="19">
        <v>6050</v>
      </c>
      <c r="V8" s="19">
        <v>6050</v>
      </c>
      <c r="W8" s="19">
        <v>6050</v>
      </c>
      <c r="X8" s="19"/>
      <c r="Y8" s="18">
        <v>6050</v>
      </c>
      <c r="Z8" s="19">
        <v>6050</v>
      </c>
      <c r="AA8" s="19">
        <v>6050</v>
      </c>
      <c r="AB8" s="19">
        <v>6050</v>
      </c>
      <c r="AC8" s="19">
        <v>6050</v>
      </c>
      <c r="AD8" s="19">
        <v>6050</v>
      </c>
      <c r="AE8" s="19">
        <v>6050</v>
      </c>
      <c r="AF8" s="19">
        <v>6050</v>
      </c>
      <c r="AG8" s="19">
        <v>6050</v>
      </c>
      <c r="AH8" s="19"/>
      <c r="AI8" s="19"/>
      <c r="AJ8" s="19"/>
    </row>
    <row r="9" spans="1:36">
      <c r="A9" s="28" t="s">
        <v>8</v>
      </c>
      <c r="B9" s="35" t="s">
        <v>2</v>
      </c>
      <c r="C9" s="18">
        <v>2725092</v>
      </c>
      <c r="D9" s="19">
        <v>0</v>
      </c>
      <c r="E9" s="19">
        <v>0</v>
      </c>
      <c r="F9" s="19">
        <v>143712</v>
      </c>
      <c r="G9" s="18">
        <v>0</v>
      </c>
      <c r="H9" s="18">
        <v>0</v>
      </c>
      <c r="I9" s="18">
        <v>0</v>
      </c>
      <c r="J9" s="18">
        <v>0</v>
      </c>
      <c r="K9" s="19"/>
      <c r="L9" s="19">
        <v>0</v>
      </c>
      <c r="M9" s="19">
        <v>139800</v>
      </c>
      <c r="N9" s="19">
        <v>291271</v>
      </c>
      <c r="O9" s="19">
        <v>1866</v>
      </c>
      <c r="P9" s="19">
        <v>704012</v>
      </c>
      <c r="Q9" s="19">
        <v>0</v>
      </c>
      <c r="R9" s="19">
        <v>0</v>
      </c>
      <c r="S9" s="19">
        <v>0</v>
      </c>
      <c r="T9" s="19">
        <v>0</v>
      </c>
      <c r="U9" s="19">
        <v>354115</v>
      </c>
      <c r="V9" s="19">
        <v>0</v>
      </c>
      <c r="W9" s="19">
        <v>0</v>
      </c>
      <c r="X9" s="19"/>
      <c r="Y9" s="19">
        <v>0</v>
      </c>
      <c r="Z9" s="19">
        <v>0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</row>
    <row r="10" spans="1:36">
      <c r="A10" s="28" t="s">
        <v>9</v>
      </c>
      <c r="B10" s="35" t="s">
        <v>2</v>
      </c>
      <c r="C10" s="20"/>
      <c r="D10" s="21"/>
      <c r="E10" s="21"/>
      <c r="F10" s="21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 spans="1:36">
      <c r="A11" s="28" t="s">
        <v>10</v>
      </c>
      <c r="B11" s="35" t="s">
        <v>2</v>
      </c>
      <c r="C11" s="22"/>
      <c r="D11" s="23"/>
      <c r="E11" s="23"/>
      <c r="F11" s="23"/>
      <c r="G11" s="22"/>
      <c r="H11" s="22"/>
      <c r="I11" s="22"/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>
      <c r="A12" s="28" t="s">
        <v>11</v>
      </c>
      <c r="B12" s="35" t="s">
        <v>2</v>
      </c>
      <c r="C12" s="22"/>
      <c r="D12" s="23"/>
      <c r="E12" s="23"/>
      <c r="F12" s="23"/>
      <c r="G12" s="22"/>
      <c r="H12" s="22"/>
      <c r="I12" s="22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>
      <c r="A13" s="28" t="s">
        <v>12</v>
      </c>
      <c r="B13" s="35" t="s">
        <v>2</v>
      </c>
      <c r="C13" s="22"/>
      <c r="D13" s="29">
        <f>SUM(D4-D7-D8-D9)</f>
        <v>0</v>
      </c>
      <c r="E13" s="29">
        <f t="shared" ref="E13:J13" si="13">SUM(E4-E7-E8-E9)</f>
        <v>0</v>
      </c>
      <c r="F13" s="29">
        <f t="shared" si="13"/>
        <v>22190</v>
      </c>
      <c r="G13" s="29">
        <f t="shared" si="13"/>
        <v>214290</v>
      </c>
      <c r="H13" s="29">
        <f t="shared" si="13"/>
        <v>214290</v>
      </c>
      <c r="I13" s="29">
        <f t="shared" si="13"/>
        <v>214290</v>
      </c>
      <c r="J13" s="29">
        <f t="shared" si="13"/>
        <v>214290</v>
      </c>
      <c r="K13" s="29"/>
      <c r="L13" s="29">
        <f>SUM(L4-L7-L8-L9)</f>
        <v>-40710</v>
      </c>
      <c r="M13" s="29">
        <f t="shared" ref="M13:W13" si="14">SUM(M4-M7-M8-M9)</f>
        <v>-180510</v>
      </c>
      <c r="N13" s="29">
        <f t="shared" si="14"/>
        <v>-331981</v>
      </c>
      <c r="O13" s="29">
        <f t="shared" si="14"/>
        <v>-42576</v>
      </c>
      <c r="P13" s="29">
        <f t="shared" si="14"/>
        <v>-400315</v>
      </c>
      <c r="Q13" s="29">
        <f t="shared" si="14"/>
        <v>228240</v>
      </c>
      <c r="R13" s="29">
        <f t="shared" si="14"/>
        <v>228240</v>
      </c>
      <c r="S13" s="29">
        <f t="shared" si="14"/>
        <v>228240</v>
      </c>
      <c r="T13" s="29">
        <f t="shared" si="14"/>
        <v>228240</v>
      </c>
      <c r="U13" s="29">
        <f t="shared" si="14"/>
        <v>-125875</v>
      </c>
      <c r="V13" s="29">
        <f t="shared" si="14"/>
        <v>228240</v>
      </c>
      <c r="W13" s="29">
        <f t="shared" si="14"/>
        <v>228240</v>
      </c>
      <c r="X13" s="29"/>
      <c r="Y13" s="29">
        <f>SUM(Y4-Y7-Y8-Y9)</f>
        <v>228640</v>
      </c>
      <c r="Z13" s="29">
        <f t="shared" ref="Z13:AJ13" si="15">SUM(Z4-Z7-Z8-Z9)</f>
        <v>228640</v>
      </c>
      <c r="AA13" s="29">
        <f t="shared" si="15"/>
        <v>228640</v>
      </c>
      <c r="AB13" s="29">
        <f t="shared" si="15"/>
        <v>228640</v>
      </c>
      <c r="AC13" s="29">
        <f t="shared" si="15"/>
        <v>228640</v>
      </c>
      <c r="AD13" s="29">
        <f t="shared" si="15"/>
        <v>228640</v>
      </c>
      <c r="AE13" s="29">
        <f t="shared" si="15"/>
        <v>228640</v>
      </c>
      <c r="AF13" s="29">
        <f t="shared" si="15"/>
        <v>228640</v>
      </c>
      <c r="AG13" s="29">
        <f t="shared" si="15"/>
        <v>228640</v>
      </c>
      <c r="AH13" s="29">
        <f t="shared" si="15"/>
        <v>-40310</v>
      </c>
      <c r="AI13" s="29">
        <f t="shared" si="15"/>
        <v>-40310</v>
      </c>
      <c r="AJ13" s="29">
        <f t="shared" si="15"/>
        <v>-40310</v>
      </c>
    </row>
    <row r="14" spans="1:36">
      <c r="A14" s="28" t="s">
        <v>13</v>
      </c>
      <c r="B14" s="35" t="s">
        <v>2</v>
      </c>
      <c r="C14" s="22"/>
      <c r="D14" s="23"/>
      <c r="E14" s="23"/>
      <c r="F14" s="23"/>
      <c r="G14" s="22"/>
      <c r="H14" s="22"/>
      <c r="I14" s="22"/>
      <c r="J14" s="2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</row>
    <row r="15" spans="1:36">
      <c r="A15" s="24" t="s">
        <v>29</v>
      </c>
      <c r="P15" t="s">
        <v>30</v>
      </c>
    </row>
    <row r="16" spans="1:36">
      <c r="P16" t="s">
        <v>31</v>
      </c>
    </row>
  </sheetData>
  <phoneticPr fontId="2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EF65-1419-4386-968F-46C512E79A6E}">
  <dimension ref="A1:AJ15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D21" sqref="AD21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5" t="s">
        <v>32</v>
      </c>
      <c r="B2" s="34"/>
      <c r="C2" s="31">
        <v>45464</v>
      </c>
      <c r="D2" s="13"/>
      <c r="E2" s="13"/>
      <c r="F2" s="13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>
      <c r="A3" s="26" t="s">
        <v>1</v>
      </c>
      <c r="B3" s="34" t="s">
        <v>2</v>
      </c>
      <c r="C3" s="12">
        <v>61000000</v>
      </c>
      <c r="D3" s="13"/>
      <c r="E3" s="13"/>
      <c r="F3" s="13"/>
      <c r="G3" s="12"/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>
      <c r="A4" s="26" t="s">
        <v>15</v>
      </c>
      <c r="B4" s="34" t="s">
        <v>2</v>
      </c>
      <c r="C4" s="12">
        <v>193000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64333</v>
      </c>
      <c r="J4" s="12">
        <v>193000</v>
      </c>
      <c r="K4" s="12"/>
      <c r="L4" s="12">
        <v>193000</v>
      </c>
      <c r="M4" s="12">
        <v>193000</v>
      </c>
      <c r="N4" s="12">
        <v>193000</v>
      </c>
      <c r="O4" s="12">
        <v>193000</v>
      </c>
      <c r="P4" s="12">
        <v>193000</v>
      </c>
      <c r="Q4" s="12">
        <v>193000</v>
      </c>
      <c r="R4" s="12">
        <v>193000</v>
      </c>
      <c r="S4" s="12">
        <v>193000</v>
      </c>
      <c r="T4" s="12">
        <v>193000</v>
      </c>
      <c r="U4" s="12">
        <v>193000</v>
      </c>
      <c r="V4" s="12">
        <v>193000</v>
      </c>
      <c r="W4" s="12">
        <v>193000</v>
      </c>
      <c r="X4" s="12"/>
      <c r="Y4" s="12">
        <v>193000</v>
      </c>
      <c r="Z4" s="12">
        <v>193000</v>
      </c>
      <c r="AA4" s="12">
        <v>193000</v>
      </c>
      <c r="AB4" s="12">
        <v>193000</v>
      </c>
      <c r="AC4" s="12">
        <v>193000</v>
      </c>
      <c r="AD4" s="12">
        <v>193000</v>
      </c>
      <c r="AE4" s="12">
        <v>193000</v>
      </c>
      <c r="AF4" s="12"/>
      <c r="AG4" s="12"/>
      <c r="AH4" s="12"/>
      <c r="AI4" s="12"/>
      <c r="AJ4" s="12"/>
    </row>
    <row r="5" spans="1:36">
      <c r="A5" s="26" t="s">
        <v>4</v>
      </c>
      <c r="B5" s="34" t="s">
        <v>2</v>
      </c>
      <c r="C5" s="12"/>
      <c r="D5" s="13"/>
      <c r="E5" s="13"/>
      <c r="F5" s="13"/>
      <c r="G5" s="13"/>
      <c r="H5" s="13"/>
      <c r="I5" s="13">
        <v>71029</v>
      </c>
      <c r="J5" s="12">
        <v>71029</v>
      </c>
      <c r="K5" s="13"/>
      <c r="L5" s="13">
        <v>71029</v>
      </c>
      <c r="M5" s="13">
        <v>71029</v>
      </c>
      <c r="N5" s="13">
        <v>71029</v>
      </c>
      <c r="O5" s="13">
        <v>71029</v>
      </c>
      <c r="P5" s="13">
        <v>71029</v>
      </c>
      <c r="Q5" s="13">
        <v>71031</v>
      </c>
      <c r="R5" s="13">
        <v>71029</v>
      </c>
      <c r="S5" s="13">
        <v>71029</v>
      </c>
      <c r="T5" s="13">
        <v>71029</v>
      </c>
      <c r="U5" s="13">
        <v>71029</v>
      </c>
      <c r="V5" s="13">
        <v>71029</v>
      </c>
      <c r="W5" s="13">
        <v>71032</v>
      </c>
      <c r="X5" s="13"/>
      <c r="Y5" s="13">
        <v>71029</v>
      </c>
      <c r="Z5" s="13">
        <v>71029</v>
      </c>
      <c r="AA5" s="13">
        <v>71029</v>
      </c>
      <c r="AB5" s="13">
        <v>71029</v>
      </c>
      <c r="AC5" s="13">
        <v>71029</v>
      </c>
      <c r="AD5" s="13">
        <v>71031</v>
      </c>
      <c r="AE5" s="13">
        <v>71029</v>
      </c>
      <c r="AF5" s="13">
        <v>71029</v>
      </c>
      <c r="AG5" s="13">
        <v>71029</v>
      </c>
      <c r="AH5" s="13">
        <v>71029</v>
      </c>
      <c r="AI5" s="13">
        <v>71029</v>
      </c>
      <c r="AJ5" s="13">
        <v>71032</v>
      </c>
    </row>
    <row r="6" spans="1:36">
      <c r="A6" s="26" t="s">
        <v>5</v>
      </c>
      <c r="B6" s="34" t="s">
        <v>2</v>
      </c>
      <c r="C6" s="12">
        <v>38743323</v>
      </c>
      <c r="D6" s="12"/>
      <c r="E6" s="12"/>
      <c r="F6" s="12"/>
      <c r="G6" s="12"/>
      <c r="H6" s="12"/>
      <c r="I6" s="12">
        <f>SUM(C6-I5)</f>
        <v>38672294</v>
      </c>
      <c r="J6" s="12">
        <f t="shared" ref="J6" si="0">SUM(I6-J5)</f>
        <v>38601265</v>
      </c>
      <c r="K6" s="13"/>
      <c r="L6" s="12">
        <f>SUM(J6-L5)</f>
        <v>38530236</v>
      </c>
      <c r="M6" s="12">
        <f t="shared" ref="M6:W6" si="1">SUM(L6-M5)</f>
        <v>38459207</v>
      </c>
      <c r="N6" s="12">
        <f t="shared" si="1"/>
        <v>38388178</v>
      </c>
      <c r="O6" s="12">
        <f t="shared" si="1"/>
        <v>38317149</v>
      </c>
      <c r="P6" s="12">
        <f t="shared" si="1"/>
        <v>38246120</v>
      </c>
      <c r="Q6" s="12">
        <f t="shared" si="1"/>
        <v>38175089</v>
      </c>
      <c r="R6" s="12">
        <f t="shared" si="1"/>
        <v>38104060</v>
      </c>
      <c r="S6" s="12">
        <f t="shared" si="1"/>
        <v>38033031</v>
      </c>
      <c r="T6" s="12">
        <f t="shared" si="1"/>
        <v>37962002</v>
      </c>
      <c r="U6" s="12">
        <f t="shared" si="1"/>
        <v>37890973</v>
      </c>
      <c r="V6" s="12">
        <f t="shared" si="1"/>
        <v>37819944</v>
      </c>
      <c r="W6" s="12">
        <f t="shared" si="1"/>
        <v>37748912</v>
      </c>
      <c r="X6" s="13"/>
      <c r="Y6" s="12">
        <f>SUM(W6-Y5)</f>
        <v>37677883</v>
      </c>
      <c r="Z6" s="12">
        <f t="shared" ref="Z6" si="2">SUM(Y6-Z5)</f>
        <v>37606854</v>
      </c>
      <c r="AA6" s="12">
        <f t="shared" ref="AA6" si="3">SUM(Z6-AA5)</f>
        <v>37535825</v>
      </c>
      <c r="AB6" s="12">
        <f t="shared" ref="AB6" si="4">SUM(AA6-AB5)</f>
        <v>37464796</v>
      </c>
      <c r="AC6" s="12">
        <f t="shared" ref="AC6" si="5">SUM(AB6-AC5)</f>
        <v>37393767</v>
      </c>
      <c r="AD6" s="12">
        <f t="shared" ref="AD6" si="6">SUM(AC6-AD5)</f>
        <v>37322736</v>
      </c>
      <c r="AE6" s="12">
        <f t="shared" ref="AE6" si="7">SUM(AD6-AE5)</f>
        <v>37251707</v>
      </c>
      <c r="AF6" s="12">
        <f t="shared" ref="AF6" si="8">SUM(AE6-AF5)</f>
        <v>37180678</v>
      </c>
      <c r="AG6" s="12">
        <f t="shared" ref="AG6" si="9">SUM(AF6-AG5)</f>
        <v>37109649</v>
      </c>
      <c r="AH6" s="12">
        <f t="shared" ref="AH6" si="10">SUM(AG6-AH5)</f>
        <v>37038620</v>
      </c>
      <c r="AI6" s="12">
        <f t="shared" ref="AI6" si="11">SUM(AH6-AI5)</f>
        <v>36967591</v>
      </c>
      <c r="AJ6" s="12">
        <f t="shared" ref="AJ6" si="12">SUM(AI6-AJ5)</f>
        <v>36896559</v>
      </c>
    </row>
    <row r="7" spans="1:36">
      <c r="A7" s="26" t="s">
        <v>33</v>
      </c>
      <c r="B7" s="34" t="s">
        <v>2</v>
      </c>
      <c r="C7" s="12">
        <v>24052</v>
      </c>
      <c r="D7" s="13"/>
      <c r="E7" s="13"/>
      <c r="F7" s="13"/>
      <c r="G7" s="12"/>
      <c r="H7" s="12"/>
      <c r="I7" s="12">
        <v>8017</v>
      </c>
      <c r="J7" s="12">
        <v>24052</v>
      </c>
      <c r="K7" s="13"/>
      <c r="L7" s="12">
        <v>24052</v>
      </c>
      <c r="M7" s="12">
        <v>24052</v>
      </c>
      <c r="N7" s="12">
        <v>24052</v>
      </c>
      <c r="O7" s="12">
        <v>24052</v>
      </c>
      <c r="P7" s="12">
        <v>24052</v>
      </c>
      <c r="Q7" s="12">
        <v>24052</v>
      </c>
      <c r="R7" s="12">
        <v>24052</v>
      </c>
      <c r="S7" s="12">
        <v>24052</v>
      </c>
      <c r="T7" s="12">
        <v>24052</v>
      </c>
      <c r="U7" s="12">
        <v>24052</v>
      </c>
      <c r="V7" s="12">
        <v>24052</v>
      </c>
      <c r="W7" s="12">
        <v>24052</v>
      </c>
      <c r="X7" s="13"/>
      <c r="Y7" s="12">
        <v>24052</v>
      </c>
      <c r="Z7" s="12">
        <v>24052</v>
      </c>
      <c r="AA7" s="12">
        <v>24052</v>
      </c>
      <c r="AB7" s="12">
        <v>24052</v>
      </c>
      <c r="AC7" s="12">
        <v>24052</v>
      </c>
      <c r="AD7" s="12">
        <v>24052</v>
      </c>
      <c r="AE7" s="12">
        <v>24052</v>
      </c>
      <c r="AF7" s="12">
        <v>24052</v>
      </c>
      <c r="AG7" s="12">
        <v>24052</v>
      </c>
      <c r="AH7" s="12">
        <v>24052</v>
      </c>
      <c r="AI7" s="12">
        <v>24052</v>
      </c>
      <c r="AJ7" s="12">
        <v>24052</v>
      </c>
    </row>
    <row r="8" spans="1:36">
      <c r="A8" s="26" t="s">
        <v>7</v>
      </c>
      <c r="B8" s="34" t="s">
        <v>2</v>
      </c>
      <c r="C8" s="12"/>
      <c r="D8" s="13"/>
      <c r="E8" s="13"/>
      <c r="F8" s="13"/>
      <c r="G8" s="12"/>
      <c r="H8" s="12"/>
      <c r="I8" s="12">
        <v>0</v>
      </c>
      <c r="J8" s="12">
        <v>0</v>
      </c>
      <c r="K8" s="13"/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3"/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</row>
    <row r="9" spans="1:36">
      <c r="A9" s="26" t="s">
        <v>8</v>
      </c>
      <c r="B9" s="34" t="s">
        <v>2</v>
      </c>
      <c r="C9" s="12">
        <v>2432689</v>
      </c>
      <c r="D9" s="13">
        <v>0</v>
      </c>
      <c r="E9" s="13">
        <v>0</v>
      </c>
      <c r="F9" s="13">
        <v>0</v>
      </c>
      <c r="G9" s="12">
        <v>0</v>
      </c>
      <c r="H9" s="12">
        <v>0</v>
      </c>
      <c r="I9" s="12">
        <v>49098</v>
      </c>
      <c r="J9" s="12">
        <v>0</v>
      </c>
      <c r="K9" s="13"/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93407</v>
      </c>
      <c r="V9" s="13">
        <v>0</v>
      </c>
      <c r="W9" s="13">
        <v>0</v>
      </c>
      <c r="X9" s="13"/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</row>
    <row r="10" spans="1:36">
      <c r="A10" s="26" t="s">
        <v>9</v>
      </c>
      <c r="B10" s="34" t="s">
        <v>2</v>
      </c>
      <c r="C10" s="14"/>
      <c r="D10" s="15"/>
      <c r="E10" s="15"/>
      <c r="F10" s="15"/>
      <c r="G10" s="14"/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>
      <c r="A11" s="26" t="s">
        <v>10</v>
      </c>
      <c r="B11" s="34" t="s">
        <v>2</v>
      </c>
      <c r="C11" s="16"/>
      <c r="D11" s="17"/>
      <c r="E11" s="17"/>
      <c r="F11" s="17"/>
      <c r="G11" s="16"/>
      <c r="H11" s="16"/>
      <c r="I11" s="16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spans="1:36">
      <c r="A12" s="26" t="s">
        <v>11</v>
      </c>
      <c r="B12" s="34" t="s">
        <v>2</v>
      </c>
      <c r="C12" s="16"/>
      <c r="D12" s="17"/>
      <c r="E12" s="17"/>
      <c r="F12" s="17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 spans="1:36">
      <c r="A13" s="26" t="s">
        <v>12</v>
      </c>
      <c r="B13" s="34" t="s">
        <v>2</v>
      </c>
      <c r="C13" s="16"/>
      <c r="D13" s="30">
        <f>SUM(D4-D7-D8-D9)</f>
        <v>0</v>
      </c>
      <c r="E13" s="30">
        <f t="shared" ref="E13:J13" si="13">SUM(E4-E7-E8-E9)</f>
        <v>0</v>
      </c>
      <c r="F13" s="30">
        <f t="shared" si="13"/>
        <v>0</v>
      </c>
      <c r="G13" s="30">
        <f t="shared" si="13"/>
        <v>0</v>
      </c>
      <c r="H13" s="30">
        <f t="shared" si="13"/>
        <v>0</v>
      </c>
      <c r="I13" s="30">
        <f t="shared" si="13"/>
        <v>7218</v>
      </c>
      <c r="J13" s="30">
        <f t="shared" si="13"/>
        <v>168948</v>
      </c>
      <c r="K13" s="30"/>
      <c r="L13" s="30">
        <f>SUM(L4-L7-L8-L9)</f>
        <v>168948</v>
      </c>
      <c r="M13" s="30">
        <f t="shared" ref="M13:W13" si="14">SUM(M4-M7-M8-M9)</f>
        <v>168948</v>
      </c>
      <c r="N13" s="30">
        <f t="shared" si="14"/>
        <v>168948</v>
      </c>
      <c r="O13" s="30">
        <f t="shared" si="14"/>
        <v>168948</v>
      </c>
      <c r="P13" s="30">
        <f t="shared" si="14"/>
        <v>168948</v>
      </c>
      <c r="Q13" s="30">
        <f t="shared" si="14"/>
        <v>168948</v>
      </c>
      <c r="R13" s="30">
        <f t="shared" si="14"/>
        <v>168948</v>
      </c>
      <c r="S13" s="30">
        <f t="shared" si="14"/>
        <v>168948</v>
      </c>
      <c r="T13" s="30">
        <f t="shared" si="14"/>
        <v>168948</v>
      </c>
      <c r="U13" s="30">
        <f t="shared" si="14"/>
        <v>75541</v>
      </c>
      <c r="V13" s="30">
        <f t="shared" si="14"/>
        <v>168948</v>
      </c>
      <c r="W13" s="30">
        <f t="shared" si="14"/>
        <v>168948</v>
      </c>
      <c r="X13" s="30"/>
      <c r="Y13" s="30">
        <f>SUM(Y4-Y7-Y8-Y9)</f>
        <v>168948</v>
      </c>
      <c r="Z13" s="30">
        <f t="shared" ref="Z13:AJ13" si="15">SUM(Z4-Z7-Z8-Z9)</f>
        <v>168948</v>
      </c>
      <c r="AA13" s="30">
        <f t="shared" si="15"/>
        <v>168948</v>
      </c>
      <c r="AB13" s="30">
        <f t="shared" si="15"/>
        <v>168948</v>
      </c>
      <c r="AC13" s="30">
        <f t="shared" si="15"/>
        <v>168948</v>
      </c>
      <c r="AD13" s="30">
        <f t="shared" si="15"/>
        <v>168948</v>
      </c>
      <c r="AE13" s="30">
        <f t="shared" si="15"/>
        <v>168948</v>
      </c>
      <c r="AF13" s="30">
        <f t="shared" si="15"/>
        <v>-24052</v>
      </c>
      <c r="AG13" s="30">
        <f t="shared" si="15"/>
        <v>-24052</v>
      </c>
      <c r="AH13" s="30">
        <f t="shared" si="15"/>
        <v>-24052</v>
      </c>
      <c r="AI13" s="30">
        <f t="shared" si="15"/>
        <v>-24052</v>
      </c>
      <c r="AJ13" s="30">
        <f t="shared" si="15"/>
        <v>-24052</v>
      </c>
    </row>
    <row r="14" spans="1:36">
      <c r="A14" s="26" t="s">
        <v>13</v>
      </c>
      <c r="B14" s="34" t="s">
        <v>2</v>
      </c>
      <c r="C14" s="16"/>
      <c r="D14" s="17"/>
      <c r="E14" s="17"/>
      <c r="F14" s="17"/>
      <c r="G14" s="16"/>
      <c r="H14" s="16"/>
      <c r="I14" s="16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  <row r="15" spans="1:36">
      <c r="A15" s="24" t="s">
        <v>34</v>
      </c>
    </row>
  </sheetData>
  <phoneticPr fontId="2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9517-99ED-4545-AE7A-131501304964}">
  <dimension ref="A1:AJ16"/>
  <sheetViews>
    <sheetView zoomScale="85" zoomScaleNormal="85" workbookViewId="0">
      <pane xSplit="3" ySplit="2" topLeftCell="O3" activePane="bottomRight" state="frozen"/>
      <selection pane="topRight" activeCell="D1" sqref="D1"/>
      <selection pane="bottomLeft" activeCell="A3" sqref="A3"/>
      <selection pane="bottomRight" activeCell="AG8" sqref="AG8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7" t="s">
        <v>35</v>
      </c>
      <c r="B2" s="35"/>
      <c r="C2" s="32">
        <v>45467</v>
      </c>
      <c r="D2" s="19"/>
      <c r="E2" s="19"/>
      <c r="F2" s="19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spans="1:36">
      <c r="A3" s="28" t="s">
        <v>1</v>
      </c>
      <c r="B3" s="35" t="s">
        <v>2</v>
      </c>
      <c r="C3" s="18">
        <v>179000000</v>
      </c>
      <c r="D3" s="19"/>
      <c r="E3" s="19"/>
      <c r="F3" s="19"/>
      <c r="G3" s="18"/>
      <c r="H3" s="18"/>
      <c r="I3" s="18"/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</row>
    <row r="4" spans="1:36">
      <c r="A4" s="28" t="s">
        <v>15</v>
      </c>
      <c r="B4" s="35" t="s">
        <v>2</v>
      </c>
      <c r="C4" s="18">
        <v>400000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/>
      <c r="L4" s="18">
        <v>606451</v>
      </c>
      <c r="M4" s="18">
        <v>400000</v>
      </c>
      <c r="N4" s="18">
        <v>400000</v>
      </c>
      <c r="O4" s="18">
        <v>400000</v>
      </c>
      <c r="P4" s="18">
        <v>400000</v>
      </c>
      <c r="Q4" s="18">
        <v>400000</v>
      </c>
      <c r="R4" s="18">
        <v>400000</v>
      </c>
      <c r="S4" s="18">
        <v>400000</v>
      </c>
      <c r="T4" s="18">
        <v>400000</v>
      </c>
      <c r="U4" s="18">
        <v>400000</v>
      </c>
      <c r="V4" s="18">
        <v>400000</v>
      </c>
      <c r="W4" s="18">
        <v>400000</v>
      </c>
      <c r="X4" s="18"/>
      <c r="Y4" s="18">
        <v>400000</v>
      </c>
      <c r="Z4" s="18">
        <v>400000</v>
      </c>
      <c r="AA4" s="18">
        <v>400000</v>
      </c>
      <c r="AB4" s="18">
        <v>400000</v>
      </c>
      <c r="AC4" s="18">
        <v>400000</v>
      </c>
      <c r="AD4" s="18">
        <v>400000</v>
      </c>
      <c r="AE4" s="18">
        <v>400000</v>
      </c>
      <c r="AF4" s="18">
        <v>400000</v>
      </c>
      <c r="AG4" s="18">
        <v>400000</v>
      </c>
      <c r="AH4" s="18"/>
      <c r="AI4" s="18"/>
      <c r="AJ4" s="18"/>
    </row>
    <row r="5" spans="1:36">
      <c r="A5" s="28" t="s">
        <v>4</v>
      </c>
      <c r="B5" s="35" t="s">
        <v>2</v>
      </c>
      <c r="C5" s="18"/>
      <c r="D5" s="18"/>
      <c r="E5" s="18"/>
      <c r="F5" s="18"/>
      <c r="G5" s="18"/>
      <c r="H5" s="18"/>
      <c r="I5" s="18">
        <v>187308</v>
      </c>
      <c r="J5" s="18">
        <v>187308</v>
      </c>
      <c r="K5" s="19"/>
      <c r="L5" s="18">
        <v>187308</v>
      </c>
      <c r="M5" s="18">
        <v>187308</v>
      </c>
      <c r="N5" s="18">
        <v>187308</v>
      </c>
      <c r="O5" s="18">
        <v>187308</v>
      </c>
      <c r="P5" s="18">
        <v>187308</v>
      </c>
      <c r="Q5" s="18">
        <v>187309</v>
      </c>
      <c r="R5" s="18">
        <v>187308</v>
      </c>
      <c r="S5" s="18">
        <v>187308</v>
      </c>
      <c r="T5" s="18">
        <v>187308</v>
      </c>
      <c r="U5" s="18">
        <v>187308</v>
      </c>
      <c r="V5" s="18">
        <v>187308</v>
      </c>
      <c r="W5" s="18">
        <v>187309</v>
      </c>
      <c r="X5" s="19"/>
      <c r="Y5" s="18">
        <v>187308</v>
      </c>
      <c r="Z5" s="18">
        <v>187308</v>
      </c>
      <c r="AA5" s="18">
        <v>187308</v>
      </c>
      <c r="AB5" s="18">
        <v>187308</v>
      </c>
      <c r="AC5" s="18">
        <v>187308</v>
      </c>
      <c r="AD5" s="18">
        <v>187309</v>
      </c>
      <c r="AE5" s="18">
        <v>187308</v>
      </c>
      <c r="AF5" s="18">
        <v>187308</v>
      </c>
      <c r="AG5" s="18">
        <v>187308</v>
      </c>
      <c r="AH5" s="18">
        <v>187308</v>
      </c>
      <c r="AI5" s="18">
        <v>187308</v>
      </c>
      <c r="AJ5" s="18">
        <v>187309</v>
      </c>
    </row>
    <row r="6" spans="1:36">
      <c r="A6" s="28" t="s">
        <v>5</v>
      </c>
      <c r="B6" s="35" t="s">
        <v>2</v>
      </c>
      <c r="C6" s="18">
        <v>102168106</v>
      </c>
      <c r="D6" s="18"/>
      <c r="E6" s="18"/>
      <c r="F6" s="18"/>
      <c r="G6" s="18"/>
      <c r="H6" s="18"/>
      <c r="I6" s="18">
        <f>SUM(C6-I5)</f>
        <v>101980798</v>
      </c>
      <c r="J6" s="18">
        <f t="shared" ref="J6" si="0">SUM(I6-J5)</f>
        <v>101793490</v>
      </c>
      <c r="K6" s="19"/>
      <c r="L6" s="18">
        <f>SUM(J6-L5)</f>
        <v>101606182</v>
      </c>
      <c r="M6" s="18">
        <f t="shared" ref="M6:W6" si="1">SUM(L6-M5)</f>
        <v>101418874</v>
      </c>
      <c r="N6" s="18">
        <f t="shared" si="1"/>
        <v>101231566</v>
      </c>
      <c r="O6" s="18">
        <f t="shared" si="1"/>
        <v>101044258</v>
      </c>
      <c r="P6" s="18">
        <f t="shared" si="1"/>
        <v>100856950</v>
      </c>
      <c r="Q6" s="18">
        <f t="shared" si="1"/>
        <v>100669641</v>
      </c>
      <c r="R6" s="18">
        <f t="shared" si="1"/>
        <v>100482333</v>
      </c>
      <c r="S6" s="18">
        <f t="shared" si="1"/>
        <v>100295025</v>
      </c>
      <c r="T6" s="18">
        <f t="shared" si="1"/>
        <v>100107717</v>
      </c>
      <c r="U6" s="18">
        <f t="shared" si="1"/>
        <v>99920409</v>
      </c>
      <c r="V6" s="18">
        <f t="shared" si="1"/>
        <v>99733101</v>
      </c>
      <c r="W6" s="18">
        <f t="shared" si="1"/>
        <v>99545792</v>
      </c>
      <c r="X6" s="19"/>
      <c r="Y6" s="18">
        <f>SUM(W6-Y5)</f>
        <v>99358484</v>
      </c>
      <c r="Z6" s="18">
        <f t="shared" ref="Z6" si="2">SUM(Y6-Z5)</f>
        <v>99171176</v>
      </c>
      <c r="AA6" s="18">
        <f t="shared" ref="AA6" si="3">SUM(Z6-AA5)</f>
        <v>98983868</v>
      </c>
      <c r="AB6" s="18">
        <f t="shared" ref="AB6" si="4">SUM(AA6-AB5)</f>
        <v>98796560</v>
      </c>
      <c r="AC6" s="18">
        <f t="shared" ref="AC6" si="5">SUM(AB6-AC5)</f>
        <v>98609252</v>
      </c>
      <c r="AD6" s="18">
        <f t="shared" ref="AD6" si="6">SUM(AC6-AD5)</f>
        <v>98421943</v>
      </c>
      <c r="AE6" s="18">
        <f t="shared" ref="AE6" si="7">SUM(AD6-AE5)</f>
        <v>98234635</v>
      </c>
      <c r="AF6" s="18">
        <f t="shared" ref="AF6" si="8">SUM(AE6-AF5)</f>
        <v>98047327</v>
      </c>
      <c r="AG6" s="18">
        <f t="shared" ref="AG6" si="9">SUM(AF6-AG5)</f>
        <v>97860019</v>
      </c>
      <c r="AH6" s="18">
        <f t="shared" ref="AH6" si="10">SUM(AG6-AH5)</f>
        <v>97672711</v>
      </c>
      <c r="AI6" s="18">
        <f t="shared" ref="AI6" si="11">SUM(AH6-AI5)</f>
        <v>97485403</v>
      </c>
      <c r="AJ6" s="18">
        <f t="shared" ref="AJ6" si="12">SUM(AI6-AJ5)</f>
        <v>97298094</v>
      </c>
    </row>
    <row r="7" spans="1:36">
      <c r="A7" s="28" t="s">
        <v>16</v>
      </c>
      <c r="B7" s="35" t="s">
        <v>2</v>
      </c>
      <c r="C7" s="18">
        <v>41320</v>
      </c>
      <c r="D7" s="19"/>
      <c r="E7" s="19"/>
      <c r="F7" s="19"/>
      <c r="G7" s="18"/>
      <c r="H7" s="18"/>
      <c r="I7" s="18">
        <v>9641</v>
      </c>
      <c r="J7" s="18">
        <v>41320</v>
      </c>
      <c r="K7" s="19"/>
      <c r="L7" s="18">
        <v>41320</v>
      </c>
      <c r="M7" s="18">
        <v>41320</v>
      </c>
      <c r="N7" s="18">
        <v>41320</v>
      </c>
      <c r="O7" s="18">
        <v>41320</v>
      </c>
      <c r="P7" s="18">
        <v>41320</v>
      </c>
      <c r="Q7" s="18">
        <v>41320</v>
      </c>
      <c r="R7" s="18">
        <v>41320</v>
      </c>
      <c r="S7" s="18">
        <v>41320</v>
      </c>
      <c r="T7" s="18">
        <v>41320</v>
      </c>
      <c r="U7" s="18">
        <v>41320</v>
      </c>
      <c r="V7" s="18">
        <v>41320</v>
      </c>
      <c r="W7" s="18">
        <v>41320</v>
      </c>
      <c r="X7" s="19"/>
      <c r="Y7" s="18">
        <v>44760</v>
      </c>
      <c r="Z7" s="18">
        <v>44760</v>
      </c>
      <c r="AA7" s="18">
        <v>44760</v>
      </c>
      <c r="AB7" s="18">
        <v>44760</v>
      </c>
      <c r="AC7" s="18">
        <v>44760</v>
      </c>
      <c r="AD7" s="18">
        <v>44760</v>
      </c>
      <c r="AE7" s="18">
        <v>44760</v>
      </c>
      <c r="AF7" s="18">
        <v>44760</v>
      </c>
      <c r="AG7" s="18">
        <v>44760</v>
      </c>
      <c r="AH7" s="18">
        <v>44760</v>
      </c>
      <c r="AI7" s="18">
        <v>44760</v>
      </c>
      <c r="AJ7" s="18">
        <v>44760</v>
      </c>
    </row>
    <row r="8" spans="1:36">
      <c r="A8" s="28" t="s">
        <v>7</v>
      </c>
      <c r="B8" s="35" t="s">
        <v>2</v>
      </c>
      <c r="C8" s="18"/>
      <c r="D8" s="19"/>
      <c r="E8" s="19"/>
      <c r="F8" s="19"/>
      <c r="G8" s="19"/>
      <c r="H8" s="19"/>
      <c r="I8" s="19">
        <v>0</v>
      </c>
      <c r="J8" s="19">
        <v>0</v>
      </c>
      <c r="K8" s="19"/>
      <c r="L8" s="18">
        <v>4541</v>
      </c>
      <c r="M8" s="19">
        <v>8800</v>
      </c>
      <c r="N8" s="19">
        <v>8800</v>
      </c>
      <c r="O8" s="19">
        <v>8800</v>
      </c>
      <c r="P8" s="19">
        <v>8800</v>
      </c>
      <c r="Q8" s="19">
        <v>8800</v>
      </c>
      <c r="R8" s="19">
        <v>8800</v>
      </c>
      <c r="S8" s="19">
        <v>8800</v>
      </c>
      <c r="T8" s="19">
        <v>8800</v>
      </c>
      <c r="U8" s="19">
        <v>8800</v>
      </c>
      <c r="V8" s="19">
        <v>8800</v>
      </c>
      <c r="W8" s="19">
        <v>8800</v>
      </c>
      <c r="X8" s="19"/>
      <c r="Y8" s="18">
        <v>8800</v>
      </c>
      <c r="Z8" s="19">
        <v>8800</v>
      </c>
      <c r="AA8" s="19">
        <v>8800</v>
      </c>
      <c r="AB8" s="19">
        <v>8800</v>
      </c>
      <c r="AC8" s="19">
        <v>8800</v>
      </c>
      <c r="AD8" s="19">
        <v>8800</v>
      </c>
      <c r="AE8" s="19">
        <v>8800</v>
      </c>
      <c r="AF8" s="19">
        <v>8800</v>
      </c>
      <c r="AG8" s="19">
        <v>8800</v>
      </c>
      <c r="AH8" s="19"/>
      <c r="AI8" s="19"/>
      <c r="AJ8" s="19"/>
    </row>
    <row r="9" spans="1:36">
      <c r="A9" s="28" t="s">
        <v>8</v>
      </c>
      <c r="B9" s="35" t="s">
        <v>2</v>
      </c>
      <c r="C9" s="18">
        <v>6039282</v>
      </c>
      <c r="D9" s="19">
        <v>0</v>
      </c>
      <c r="E9" s="19">
        <v>0</v>
      </c>
      <c r="F9" s="19">
        <v>0</v>
      </c>
      <c r="G9" s="18">
        <v>0</v>
      </c>
      <c r="H9" s="18">
        <v>0</v>
      </c>
      <c r="I9" s="18">
        <v>99779</v>
      </c>
      <c r="J9" s="18">
        <v>0</v>
      </c>
      <c r="K9" s="19"/>
      <c r="L9" s="19">
        <v>440000</v>
      </c>
      <c r="M9" s="19">
        <v>160000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193404</v>
      </c>
      <c r="V9" s="19">
        <v>0</v>
      </c>
      <c r="W9" s="19">
        <v>0</v>
      </c>
      <c r="X9" s="19"/>
      <c r="Y9" s="19">
        <v>0</v>
      </c>
      <c r="Z9" s="19">
        <v>0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</row>
    <row r="10" spans="1:36">
      <c r="A10" s="28" t="s">
        <v>9</v>
      </c>
      <c r="B10" s="35" t="s">
        <v>2</v>
      </c>
      <c r="C10" s="20"/>
      <c r="D10" s="21"/>
      <c r="E10" s="21"/>
      <c r="F10" s="21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 spans="1:36">
      <c r="A11" s="28" t="s">
        <v>10</v>
      </c>
      <c r="B11" s="35" t="s">
        <v>2</v>
      </c>
      <c r="C11" s="22"/>
      <c r="D11" s="23"/>
      <c r="E11" s="23"/>
      <c r="F11" s="23"/>
      <c r="G11" s="22"/>
      <c r="H11" s="22"/>
      <c r="I11" s="22"/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>
      <c r="A12" s="28" t="s">
        <v>11</v>
      </c>
      <c r="B12" s="35" t="s">
        <v>2</v>
      </c>
      <c r="C12" s="22"/>
      <c r="D12" s="23"/>
      <c r="E12" s="23"/>
      <c r="F12" s="23"/>
      <c r="G12" s="22"/>
      <c r="H12" s="22"/>
      <c r="I12" s="22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>
      <c r="A13" s="28" t="s">
        <v>12</v>
      </c>
      <c r="B13" s="35" t="s">
        <v>2</v>
      </c>
      <c r="C13" s="22"/>
      <c r="D13" s="29">
        <f>SUM(D4-D7-D8-D9)</f>
        <v>0</v>
      </c>
      <c r="E13" s="29">
        <f t="shared" ref="E13:J13" si="13">SUM(E4-E7-E8-E9)</f>
        <v>0</v>
      </c>
      <c r="F13" s="29">
        <f t="shared" si="13"/>
        <v>0</v>
      </c>
      <c r="G13" s="29">
        <f t="shared" si="13"/>
        <v>0</v>
      </c>
      <c r="H13" s="29">
        <f t="shared" si="13"/>
        <v>0</v>
      </c>
      <c r="I13" s="29">
        <f t="shared" si="13"/>
        <v>-109420</v>
      </c>
      <c r="J13" s="29">
        <f t="shared" si="13"/>
        <v>-41320</v>
      </c>
      <c r="K13" s="29"/>
      <c r="L13" s="29">
        <f>SUM(L4-L7-L8-L9)</f>
        <v>120590</v>
      </c>
      <c r="M13" s="29">
        <f t="shared" ref="M13:W13" si="14">SUM(M4-M7-M8-M9)</f>
        <v>189880</v>
      </c>
      <c r="N13" s="29">
        <f t="shared" si="14"/>
        <v>349880</v>
      </c>
      <c r="O13" s="29">
        <f t="shared" si="14"/>
        <v>349880</v>
      </c>
      <c r="P13" s="29">
        <f t="shared" si="14"/>
        <v>349880</v>
      </c>
      <c r="Q13" s="29">
        <f t="shared" si="14"/>
        <v>349880</v>
      </c>
      <c r="R13" s="29">
        <f t="shared" si="14"/>
        <v>349880</v>
      </c>
      <c r="S13" s="29">
        <f t="shared" si="14"/>
        <v>349880</v>
      </c>
      <c r="T13" s="29">
        <f t="shared" si="14"/>
        <v>349880</v>
      </c>
      <c r="U13" s="29">
        <f t="shared" si="14"/>
        <v>156476</v>
      </c>
      <c r="V13" s="29">
        <f t="shared" si="14"/>
        <v>349880</v>
      </c>
      <c r="W13" s="29">
        <f t="shared" si="14"/>
        <v>349880</v>
      </c>
      <c r="X13" s="29"/>
      <c r="Y13" s="29">
        <f>SUM(Y4-Y7-Y8-Y9)</f>
        <v>346440</v>
      </c>
      <c r="Z13" s="29">
        <f t="shared" ref="Z13:AJ13" si="15">SUM(Z4-Z7-Z8-Z9)</f>
        <v>346440</v>
      </c>
      <c r="AA13" s="29">
        <f t="shared" si="15"/>
        <v>346440</v>
      </c>
      <c r="AB13" s="29">
        <f t="shared" si="15"/>
        <v>346440</v>
      </c>
      <c r="AC13" s="29">
        <f t="shared" si="15"/>
        <v>346440</v>
      </c>
      <c r="AD13" s="29">
        <f t="shared" si="15"/>
        <v>346440</v>
      </c>
      <c r="AE13" s="29">
        <f t="shared" si="15"/>
        <v>346440</v>
      </c>
      <c r="AF13" s="29">
        <f t="shared" si="15"/>
        <v>346440</v>
      </c>
      <c r="AG13" s="29">
        <f t="shared" si="15"/>
        <v>346440</v>
      </c>
      <c r="AH13" s="29">
        <f t="shared" si="15"/>
        <v>-44760</v>
      </c>
      <c r="AI13" s="29">
        <f t="shared" si="15"/>
        <v>-44760</v>
      </c>
      <c r="AJ13" s="29">
        <f t="shared" si="15"/>
        <v>-44760</v>
      </c>
    </row>
    <row r="14" spans="1:36">
      <c r="A14" s="28" t="s">
        <v>13</v>
      </c>
      <c r="B14" s="35" t="s">
        <v>2</v>
      </c>
      <c r="C14" s="22"/>
      <c r="D14" s="23"/>
      <c r="E14" s="23"/>
      <c r="F14" s="23"/>
      <c r="G14" s="22"/>
      <c r="H14" s="22"/>
      <c r="I14" s="22"/>
      <c r="J14" s="2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</row>
    <row r="15" spans="1:36">
      <c r="A15" s="24" t="s">
        <v>36</v>
      </c>
      <c r="L15" t="s">
        <v>37</v>
      </c>
    </row>
    <row r="16" spans="1:36">
      <c r="L16" t="s">
        <v>36</v>
      </c>
    </row>
  </sheetData>
  <phoneticPr fontId="2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3420-EB23-473A-92F7-B2986745962C}">
  <dimension ref="A1:AJ16"/>
  <sheetViews>
    <sheetView zoomScale="85" zoomScaleNormal="85" workbookViewId="0">
      <pane xSplit="3" ySplit="2" topLeftCell="U3" activePane="bottomRight" state="frozen"/>
      <selection pane="topRight" activeCell="D1" sqref="D1"/>
      <selection pane="bottomLeft" activeCell="A3" sqref="A3"/>
      <selection pane="bottomRight" activeCell="AH22" sqref="AH22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5" t="s">
        <v>38</v>
      </c>
      <c r="B2" s="34"/>
      <c r="C2" s="31">
        <v>45505</v>
      </c>
      <c r="D2" s="13"/>
      <c r="E2" s="13"/>
      <c r="F2" s="13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>
      <c r="A3" s="26" t="s">
        <v>1</v>
      </c>
      <c r="B3" s="34" t="s">
        <v>2</v>
      </c>
      <c r="C3" s="12">
        <v>120000000</v>
      </c>
      <c r="D3" s="13"/>
      <c r="E3" s="13"/>
      <c r="F3" s="13"/>
      <c r="G3" s="12"/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>
      <c r="A4" s="26" t="s">
        <v>15</v>
      </c>
      <c r="B4" s="34" t="s">
        <v>2</v>
      </c>
      <c r="C4" s="12">
        <v>260000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/>
      <c r="L4" s="12">
        <v>260000</v>
      </c>
      <c r="M4" s="12">
        <v>260000</v>
      </c>
      <c r="N4" s="12">
        <v>260000</v>
      </c>
      <c r="O4" s="12">
        <v>260000</v>
      </c>
      <c r="P4" s="12">
        <v>260000</v>
      </c>
      <c r="Q4" s="12">
        <v>260000</v>
      </c>
      <c r="R4" s="12">
        <v>260000</v>
      </c>
      <c r="S4" s="12">
        <v>260000</v>
      </c>
      <c r="T4" s="12">
        <v>260000</v>
      </c>
      <c r="U4" s="12">
        <v>260000</v>
      </c>
      <c r="V4" s="12">
        <v>260000</v>
      </c>
      <c r="W4" s="12">
        <v>260000</v>
      </c>
      <c r="X4" s="12"/>
      <c r="Y4" s="12">
        <v>260000</v>
      </c>
      <c r="Z4" s="12">
        <v>260000</v>
      </c>
      <c r="AA4" s="12">
        <v>260000</v>
      </c>
      <c r="AB4" s="12">
        <v>260000</v>
      </c>
      <c r="AC4" s="12">
        <v>260000</v>
      </c>
      <c r="AD4" s="12">
        <v>260000</v>
      </c>
      <c r="AE4" s="12">
        <v>260000</v>
      </c>
      <c r="AF4" s="12">
        <v>260000</v>
      </c>
      <c r="AG4" s="12">
        <v>260000</v>
      </c>
      <c r="AH4" s="12"/>
      <c r="AI4" s="12"/>
      <c r="AJ4" s="12"/>
    </row>
    <row r="5" spans="1:36">
      <c r="A5" s="26" t="s">
        <v>4</v>
      </c>
      <c r="B5" s="34" t="s">
        <v>2</v>
      </c>
      <c r="C5" s="12"/>
      <c r="D5" s="13"/>
      <c r="E5" s="13"/>
      <c r="F5" s="13"/>
      <c r="G5" s="13"/>
      <c r="H5" s="13"/>
      <c r="I5" s="13"/>
      <c r="J5" s="12"/>
      <c r="K5" s="13"/>
      <c r="L5" s="13">
        <v>109319</v>
      </c>
      <c r="M5" s="13">
        <v>109319</v>
      </c>
      <c r="N5" s="13">
        <v>109319</v>
      </c>
      <c r="O5" s="13">
        <v>109319</v>
      </c>
      <c r="P5" s="13">
        <v>109319</v>
      </c>
      <c r="Q5" s="13">
        <v>109323</v>
      </c>
      <c r="R5" s="13">
        <v>109319</v>
      </c>
      <c r="S5" s="13">
        <v>109319</v>
      </c>
      <c r="T5" s="13">
        <v>109319</v>
      </c>
      <c r="U5" s="13">
        <v>109319</v>
      </c>
      <c r="V5" s="13">
        <v>109319</v>
      </c>
      <c r="W5" s="13">
        <v>109323</v>
      </c>
      <c r="X5" s="13"/>
      <c r="Y5" s="13">
        <v>109319</v>
      </c>
      <c r="Z5" s="13">
        <v>109319</v>
      </c>
      <c r="AA5" s="13">
        <v>109319</v>
      </c>
      <c r="AB5" s="13">
        <v>109319</v>
      </c>
      <c r="AC5" s="13">
        <v>109319</v>
      </c>
      <c r="AD5" s="13">
        <v>109323</v>
      </c>
      <c r="AE5" s="13">
        <v>109319</v>
      </c>
      <c r="AF5" s="13">
        <v>109319</v>
      </c>
      <c r="AG5" s="13">
        <v>109319</v>
      </c>
      <c r="AH5" s="13">
        <v>109319</v>
      </c>
      <c r="AI5" s="13">
        <v>109319</v>
      </c>
      <c r="AJ5" s="13">
        <v>109323</v>
      </c>
    </row>
    <row r="6" spans="1:36">
      <c r="A6" s="26" t="s">
        <v>5</v>
      </c>
      <c r="B6" s="34" t="s">
        <v>2</v>
      </c>
      <c r="C6" s="12">
        <v>59628923</v>
      </c>
      <c r="D6" s="12">
        <f>SUM(C5-D5)</f>
        <v>0</v>
      </c>
      <c r="E6" s="12">
        <f>SUM(D6-E5)</f>
        <v>0</v>
      </c>
      <c r="F6" s="12">
        <f t="shared" ref="F6:J6" si="0">SUM(E6-F5)</f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3"/>
      <c r="L6" s="12">
        <f>SUM(C6-L5)</f>
        <v>59519604</v>
      </c>
      <c r="M6" s="12">
        <f t="shared" ref="M6:W6" si="1">SUM(L6-M5)</f>
        <v>59410285</v>
      </c>
      <c r="N6" s="12">
        <f t="shared" si="1"/>
        <v>59300966</v>
      </c>
      <c r="O6" s="12">
        <f t="shared" si="1"/>
        <v>59191647</v>
      </c>
      <c r="P6" s="12">
        <f t="shared" si="1"/>
        <v>59082328</v>
      </c>
      <c r="Q6" s="12">
        <f t="shared" si="1"/>
        <v>58973005</v>
      </c>
      <c r="R6" s="12">
        <f t="shared" si="1"/>
        <v>58863686</v>
      </c>
      <c r="S6" s="12">
        <f t="shared" si="1"/>
        <v>58754367</v>
      </c>
      <c r="T6" s="12">
        <f t="shared" si="1"/>
        <v>58645048</v>
      </c>
      <c r="U6" s="12">
        <f t="shared" si="1"/>
        <v>58535729</v>
      </c>
      <c r="V6" s="12">
        <f t="shared" si="1"/>
        <v>58426410</v>
      </c>
      <c r="W6" s="12">
        <f t="shared" si="1"/>
        <v>58317087</v>
      </c>
      <c r="X6" s="13"/>
      <c r="Y6" s="12">
        <f>SUM(W6-Y5)</f>
        <v>58207768</v>
      </c>
      <c r="Z6" s="12">
        <f t="shared" ref="Z6" si="2">SUM(Y6-Z5)</f>
        <v>58098449</v>
      </c>
      <c r="AA6" s="12">
        <f t="shared" ref="AA6" si="3">SUM(Z6-AA5)</f>
        <v>57989130</v>
      </c>
      <c r="AB6" s="12">
        <f t="shared" ref="AB6" si="4">SUM(AA6-AB5)</f>
        <v>57879811</v>
      </c>
      <c r="AC6" s="12">
        <f t="shared" ref="AC6" si="5">SUM(AB6-AC5)</f>
        <v>57770492</v>
      </c>
      <c r="AD6" s="12">
        <f t="shared" ref="AD6" si="6">SUM(AC6-AD5)</f>
        <v>57661169</v>
      </c>
      <c r="AE6" s="12">
        <f t="shared" ref="AE6" si="7">SUM(AD6-AE5)</f>
        <v>57551850</v>
      </c>
      <c r="AF6" s="12">
        <f t="shared" ref="AF6" si="8">SUM(AE6-AF5)</f>
        <v>57442531</v>
      </c>
      <c r="AG6" s="12">
        <f t="shared" ref="AG6" si="9">SUM(AF6-AG5)</f>
        <v>57333212</v>
      </c>
      <c r="AH6" s="12">
        <f t="shared" ref="AH6" si="10">SUM(AG6-AH5)</f>
        <v>57223893</v>
      </c>
      <c r="AI6" s="12">
        <f t="shared" ref="AI6" si="11">SUM(AH6-AI5)</f>
        <v>57114574</v>
      </c>
      <c r="AJ6" s="12">
        <f t="shared" ref="AJ6" si="12">SUM(AI6-AJ5)</f>
        <v>57005251</v>
      </c>
    </row>
    <row r="7" spans="1:36">
      <c r="A7" s="26" t="s">
        <v>33</v>
      </c>
      <c r="B7" s="34" t="s">
        <v>2</v>
      </c>
      <c r="C7" s="12">
        <v>24580</v>
      </c>
      <c r="D7" s="13"/>
      <c r="E7" s="13"/>
      <c r="F7" s="13"/>
      <c r="G7" s="12"/>
      <c r="H7" s="12"/>
      <c r="I7" s="12"/>
      <c r="J7" s="12"/>
      <c r="K7" s="13"/>
      <c r="L7" s="12">
        <v>24580</v>
      </c>
      <c r="M7" s="12">
        <v>24580</v>
      </c>
      <c r="N7" s="12">
        <v>24580</v>
      </c>
      <c r="O7" s="12">
        <v>24580</v>
      </c>
      <c r="P7" s="12">
        <v>24580</v>
      </c>
      <c r="Q7" s="12">
        <v>24580</v>
      </c>
      <c r="R7" s="12">
        <v>24580</v>
      </c>
      <c r="S7" s="12">
        <v>24580</v>
      </c>
      <c r="T7" s="12">
        <v>24580</v>
      </c>
      <c r="U7" s="12">
        <v>24580</v>
      </c>
      <c r="V7" s="12">
        <v>24580</v>
      </c>
      <c r="W7" s="12">
        <v>24580</v>
      </c>
      <c r="X7" s="13"/>
      <c r="Y7" s="12">
        <v>28650</v>
      </c>
      <c r="Z7" s="12">
        <v>28650</v>
      </c>
      <c r="AA7" s="12">
        <v>28650</v>
      </c>
      <c r="AB7" s="12">
        <v>33250</v>
      </c>
      <c r="AC7" s="12">
        <v>33250</v>
      </c>
      <c r="AD7" s="12">
        <v>33250</v>
      </c>
      <c r="AE7" s="12">
        <v>33250</v>
      </c>
      <c r="AF7" s="12">
        <v>33250</v>
      </c>
      <c r="AG7" s="12">
        <v>33250</v>
      </c>
      <c r="AH7" s="12">
        <v>33250</v>
      </c>
      <c r="AI7" s="12">
        <v>33250</v>
      </c>
      <c r="AJ7" s="12">
        <v>33250</v>
      </c>
    </row>
    <row r="8" spans="1:36">
      <c r="A8" s="26" t="s">
        <v>7</v>
      </c>
      <c r="B8" s="34" t="s">
        <v>2</v>
      </c>
      <c r="C8" s="12"/>
      <c r="D8" s="13"/>
      <c r="E8" s="13"/>
      <c r="F8" s="13"/>
      <c r="G8" s="12"/>
      <c r="H8" s="12"/>
      <c r="I8" s="12"/>
      <c r="J8" s="12"/>
      <c r="K8" s="13"/>
      <c r="L8" s="12">
        <v>0</v>
      </c>
      <c r="M8" s="12">
        <v>5720</v>
      </c>
      <c r="N8" s="12">
        <v>5720</v>
      </c>
      <c r="O8" s="12">
        <v>5720</v>
      </c>
      <c r="P8" s="12">
        <v>5720</v>
      </c>
      <c r="Q8" s="12">
        <v>5720</v>
      </c>
      <c r="R8" s="12">
        <v>5720</v>
      </c>
      <c r="S8" s="12">
        <v>5720</v>
      </c>
      <c r="T8" s="12">
        <v>5720</v>
      </c>
      <c r="U8" s="12">
        <v>5720</v>
      </c>
      <c r="V8" s="12">
        <v>5720</v>
      </c>
      <c r="W8" s="12">
        <v>5720</v>
      </c>
      <c r="X8" s="13"/>
      <c r="Y8" s="12">
        <v>5720</v>
      </c>
      <c r="Z8" s="12">
        <v>5720</v>
      </c>
      <c r="AA8" s="12">
        <v>5720</v>
      </c>
      <c r="AB8" s="12">
        <v>5720</v>
      </c>
      <c r="AC8" s="12">
        <v>5720</v>
      </c>
      <c r="AD8" s="12">
        <v>5720</v>
      </c>
      <c r="AE8" s="12">
        <v>5720</v>
      </c>
      <c r="AF8" s="12">
        <v>5720</v>
      </c>
      <c r="AG8" s="12">
        <v>5720</v>
      </c>
      <c r="AH8" s="12"/>
      <c r="AI8" s="12"/>
      <c r="AJ8" s="12"/>
    </row>
    <row r="9" spans="1:36">
      <c r="A9" s="26" t="s">
        <v>8</v>
      </c>
      <c r="B9" s="34" t="s">
        <v>2</v>
      </c>
      <c r="C9" s="12">
        <v>3841265</v>
      </c>
      <c r="D9" s="13">
        <v>0</v>
      </c>
      <c r="E9" s="13">
        <v>0</v>
      </c>
      <c r="F9" s="13">
        <v>0</v>
      </c>
      <c r="G9" s="12">
        <v>0</v>
      </c>
      <c r="H9" s="12">
        <v>0</v>
      </c>
      <c r="I9" s="12">
        <v>0</v>
      </c>
      <c r="J9" s="12">
        <v>0</v>
      </c>
      <c r="K9" s="13"/>
      <c r="L9" s="13">
        <v>79266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174651</v>
      </c>
      <c r="V9" s="13">
        <v>0</v>
      </c>
      <c r="W9" s="13">
        <v>0</v>
      </c>
      <c r="X9" s="13"/>
      <c r="Y9" s="13">
        <v>0</v>
      </c>
      <c r="Z9" s="13">
        <v>0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6">
      <c r="A10" s="26" t="s">
        <v>9</v>
      </c>
      <c r="B10" s="34" t="s">
        <v>2</v>
      </c>
      <c r="C10" s="14"/>
      <c r="D10" s="15"/>
      <c r="E10" s="15"/>
      <c r="F10" s="15"/>
      <c r="G10" s="14"/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>
      <c r="A11" s="26" t="s">
        <v>10</v>
      </c>
      <c r="B11" s="34" t="s">
        <v>2</v>
      </c>
      <c r="C11" s="16"/>
      <c r="D11" s="17"/>
      <c r="E11" s="17"/>
      <c r="F11" s="17"/>
      <c r="G11" s="16"/>
      <c r="H11" s="16"/>
      <c r="I11" s="16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spans="1:36">
      <c r="A12" s="26" t="s">
        <v>11</v>
      </c>
      <c r="B12" s="34" t="s">
        <v>2</v>
      </c>
      <c r="C12" s="16"/>
      <c r="D12" s="17"/>
      <c r="E12" s="17"/>
      <c r="F12" s="17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 spans="1:36">
      <c r="A13" s="26" t="s">
        <v>12</v>
      </c>
      <c r="B13" s="34" t="s">
        <v>2</v>
      </c>
      <c r="C13" s="16"/>
      <c r="D13" s="30">
        <f>SUM(D4-D7-D8-D9)</f>
        <v>0</v>
      </c>
      <c r="E13" s="30">
        <f t="shared" ref="E13:J13" si="13">SUM(E4-E7-E8-E9)</f>
        <v>0</v>
      </c>
      <c r="F13" s="30">
        <f t="shared" si="13"/>
        <v>0</v>
      </c>
      <c r="G13" s="30">
        <f t="shared" si="13"/>
        <v>0</v>
      </c>
      <c r="H13" s="30">
        <f t="shared" si="13"/>
        <v>0</v>
      </c>
      <c r="I13" s="30">
        <f t="shared" si="13"/>
        <v>0</v>
      </c>
      <c r="J13" s="30">
        <f t="shared" si="13"/>
        <v>0</v>
      </c>
      <c r="K13" s="30"/>
      <c r="L13" s="30">
        <f>SUM(L4-L7-L8-L9)</f>
        <v>156154</v>
      </c>
      <c r="M13" s="30">
        <f t="shared" ref="M13:W13" si="14">SUM(M4-M7-M8-M9)</f>
        <v>229700</v>
      </c>
      <c r="N13" s="30">
        <f t="shared" si="14"/>
        <v>229700</v>
      </c>
      <c r="O13" s="30">
        <f t="shared" si="14"/>
        <v>229700</v>
      </c>
      <c r="P13" s="30">
        <f>SUM(P4-P7-P8-P9)</f>
        <v>229700</v>
      </c>
      <c r="Q13" s="30">
        <f>SUM(Q4-Q7-Q8-Q9)</f>
        <v>229700</v>
      </c>
      <c r="R13" s="30">
        <f t="shared" si="14"/>
        <v>229700</v>
      </c>
      <c r="S13" s="30">
        <f t="shared" si="14"/>
        <v>229700</v>
      </c>
      <c r="T13" s="30">
        <f t="shared" si="14"/>
        <v>229700</v>
      </c>
      <c r="U13" s="30">
        <f t="shared" si="14"/>
        <v>55049</v>
      </c>
      <c r="V13" s="30">
        <f t="shared" si="14"/>
        <v>229700</v>
      </c>
      <c r="W13" s="30">
        <f t="shared" si="14"/>
        <v>229700</v>
      </c>
      <c r="X13" s="30"/>
      <c r="Y13" s="30">
        <f>SUM(Y4-Y7-Y8-Y9)</f>
        <v>225630</v>
      </c>
      <c r="Z13" s="30">
        <f t="shared" ref="Z13:AB13" si="15">SUM(Z4-Z7-Z8-Z9)</f>
        <v>225630</v>
      </c>
      <c r="AA13" s="30">
        <f t="shared" si="15"/>
        <v>225630</v>
      </c>
      <c r="AB13" s="30">
        <f t="shared" si="15"/>
        <v>221030</v>
      </c>
      <c r="AC13" s="30">
        <f>SUM(AC4-AC7-AC8-AC9)</f>
        <v>221030</v>
      </c>
      <c r="AD13" s="30">
        <f>SUM(AD4-AD7-AD8-AD9)</f>
        <v>221030</v>
      </c>
      <c r="AE13" s="30">
        <f t="shared" ref="AE13:AJ13" si="16">SUM(AE4-AE7-AE8-AE9)</f>
        <v>221030</v>
      </c>
      <c r="AF13" s="30">
        <f t="shared" si="16"/>
        <v>221030</v>
      </c>
      <c r="AG13" s="30">
        <f t="shared" si="16"/>
        <v>221030</v>
      </c>
      <c r="AH13" s="30">
        <f t="shared" si="16"/>
        <v>-33250</v>
      </c>
      <c r="AI13" s="30">
        <f t="shared" si="16"/>
        <v>-33250</v>
      </c>
      <c r="AJ13" s="30">
        <f t="shared" si="16"/>
        <v>-33250</v>
      </c>
    </row>
    <row r="14" spans="1:36">
      <c r="A14" s="26" t="s">
        <v>13</v>
      </c>
      <c r="B14" s="34" t="s">
        <v>2</v>
      </c>
      <c r="C14" s="16"/>
      <c r="D14" s="17"/>
      <c r="E14" s="17"/>
      <c r="F14" s="17"/>
      <c r="G14" s="16"/>
      <c r="H14" s="16"/>
      <c r="I14" s="16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  <row r="15" spans="1:36">
      <c r="A15" s="24" t="s">
        <v>39</v>
      </c>
      <c r="L15" t="s">
        <v>40</v>
      </c>
    </row>
    <row r="16" spans="1:36">
      <c r="L16" t="s">
        <v>39</v>
      </c>
    </row>
  </sheetData>
  <phoneticPr fontId="2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9B27-EC98-40AD-89BF-C6E3B98D5383}">
  <dimension ref="A1:AJ16"/>
  <sheetViews>
    <sheetView zoomScale="85" zoomScaleNormal="85" workbookViewId="0">
      <pane xSplit="3" ySplit="2" topLeftCell="T3" activePane="bottomRight" state="frozen"/>
      <selection pane="topRight" activeCell="D1" sqref="D1"/>
      <selection pane="bottomLeft" activeCell="A3" sqref="A3"/>
      <selection pane="bottomRight" activeCell="AG8" sqref="AG8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5" width="10.09765625" bestFit="1" customWidth="1"/>
    <col min="26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7" t="s">
        <v>41</v>
      </c>
      <c r="B2" s="35"/>
      <c r="C2" s="32">
        <v>45544</v>
      </c>
      <c r="D2" s="19"/>
      <c r="E2" s="19"/>
      <c r="F2" s="19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spans="1:36">
      <c r="A3" s="28" t="s">
        <v>1</v>
      </c>
      <c r="B3" s="35" t="s">
        <v>2</v>
      </c>
      <c r="C3" s="18">
        <v>110000000</v>
      </c>
      <c r="D3" s="19"/>
      <c r="E3" s="19"/>
      <c r="F3" s="19"/>
      <c r="G3" s="18"/>
      <c r="H3" s="18"/>
      <c r="I3" s="18"/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</row>
    <row r="4" spans="1:36">
      <c r="A4" s="28" t="s">
        <v>15</v>
      </c>
      <c r="B4" s="35" t="s">
        <v>2</v>
      </c>
      <c r="C4" s="18">
        <v>275000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/>
      <c r="L4" s="18">
        <v>0</v>
      </c>
      <c r="M4" s="18">
        <v>201667</v>
      </c>
      <c r="N4" s="18">
        <v>275000</v>
      </c>
      <c r="O4" s="18">
        <v>275000</v>
      </c>
      <c r="P4" s="18">
        <v>275000</v>
      </c>
      <c r="Q4" s="18">
        <v>275000</v>
      </c>
      <c r="R4" s="18">
        <v>275000</v>
      </c>
      <c r="S4" s="18">
        <v>275000</v>
      </c>
      <c r="T4" s="18">
        <v>275000</v>
      </c>
      <c r="U4" s="18">
        <v>275000</v>
      </c>
      <c r="V4" s="18">
        <v>275000</v>
      </c>
      <c r="W4" s="18">
        <v>275000</v>
      </c>
      <c r="X4" s="18"/>
      <c r="Y4" s="18">
        <v>275000</v>
      </c>
      <c r="Z4" s="18">
        <v>275000</v>
      </c>
      <c r="AA4" s="18">
        <v>275000</v>
      </c>
      <c r="AB4" s="18">
        <v>275000</v>
      </c>
      <c r="AC4" s="18">
        <v>275000</v>
      </c>
      <c r="AD4" s="18">
        <v>275000</v>
      </c>
      <c r="AE4" s="18">
        <v>275000</v>
      </c>
      <c r="AF4" s="18">
        <v>275000</v>
      </c>
      <c r="AG4" s="18">
        <v>275000</v>
      </c>
      <c r="AH4" s="18"/>
      <c r="AI4" s="18"/>
      <c r="AJ4" s="18"/>
    </row>
    <row r="5" spans="1:36">
      <c r="A5" s="28" t="s">
        <v>4</v>
      </c>
      <c r="B5" s="35" t="s">
        <v>2</v>
      </c>
      <c r="C5" s="18"/>
      <c r="D5" s="18"/>
      <c r="E5" s="18"/>
      <c r="F5" s="18"/>
      <c r="G5" s="18"/>
      <c r="H5" s="18"/>
      <c r="I5" s="18"/>
      <c r="J5" s="18"/>
      <c r="K5" s="19"/>
      <c r="L5" s="18">
        <v>0</v>
      </c>
      <c r="M5" s="18">
        <v>59756</v>
      </c>
      <c r="N5" s="18">
        <v>59756</v>
      </c>
      <c r="O5" s="18">
        <v>59756</v>
      </c>
      <c r="P5" s="18">
        <v>59756</v>
      </c>
      <c r="Q5" s="18">
        <v>59756</v>
      </c>
      <c r="R5" s="18">
        <v>59756</v>
      </c>
      <c r="S5" s="18">
        <v>59756</v>
      </c>
      <c r="T5" s="18">
        <v>59756</v>
      </c>
      <c r="U5" s="18">
        <v>59756</v>
      </c>
      <c r="V5" s="18">
        <v>59756</v>
      </c>
      <c r="W5" s="18">
        <v>59757</v>
      </c>
      <c r="X5" s="19"/>
      <c r="Y5" s="18">
        <v>59756</v>
      </c>
      <c r="Z5" s="18">
        <v>59756</v>
      </c>
      <c r="AA5" s="18">
        <v>59756</v>
      </c>
      <c r="AB5" s="18">
        <v>59756</v>
      </c>
      <c r="AC5" s="18">
        <v>59756</v>
      </c>
      <c r="AD5" s="18">
        <v>59757</v>
      </c>
      <c r="AE5" s="18">
        <v>59756</v>
      </c>
      <c r="AF5" s="18">
        <v>59756</v>
      </c>
      <c r="AG5" s="18">
        <v>59756</v>
      </c>
      <c r="AH5" s="18">
        <v>59756</v>
      </c>
      <c r="AI5" s="18">
        <v>59756</v>
      </c>
      <c r="AJ5" s="18">
        <v>59757</v>
      </c>
    </row>
    <row r="6" spans="1:36">
      <c r="A6" s="28" t="s">
        <v>5</v>
      </c>
      <c r="B6" s="35" t="s">
        <v>2</v>
      </c>
      <c r="C6" s="18">
        <v>32594283</v>
      </c>
      <c r="D6" s="18"/>
      <c r="E6" s="18"/>
      <c r="F6" s="18"/>
      <c r="G6" s="18"/>
      <c r="H6" s="18"/>
      <c r="I6" s="18"/>
      <c r="J6" s="18"/>
      <c r="K6" s="19"/>
      <c r="L6" s="18"/>
      <c r="M6" s="18">
        <f>SUM(C6-M5)</f>
        <v>32534527</v>
      </c>
      <c r="N6" s="18">
        <f t="shared" ref="N6:W6" si="0">SUM(M6-N5)</f>
        <v>32474771</v>
      </c>
      <c r="O6" s="18">
        <f t="shared" si="0"/>
        <v>32415015</v>
      </c>
      <c r="P6" s="18">
        <f t="shared" si="0"/>
        <v>32355259</v>
      </c>
      <c r="Q6" s="18">
        <f t="shared" si="0"/>
        <v>32295503</v>
      </c>
      <c r="R6" s="18">
        <f t="shared" si="0"/>
        <v>32235747</v>
      </c>
      <c r="S6" s="18">
        <f t="shared" si="0"/>
        <v>32175991</v>
      </c>
      <c r="T6" s="18">
        <f t="shared" si="0"/>
        <v>32116235</v>
      </c>
      <c r="U6" s="18">
        <f t="shared" si="0"/>
        <v>32056479</v>
      </c>
      <c r="V6" s="18">
        <f t="shared" si="0"/>
        <v>31996723</v>
      </c>
      <c r="W6" s="18">
        <f t="shared" si="0"/>
        <v>31936966</v>
      </c>
      <c r="X6" s="19"/>
      <c r="Y6" s="18">
        <f>SUM(W6-Y5)</f>
        <v>31877210</v>
      </c>
      <c r="Z6" s="18">
        <f>SUM(Y6-Z5)</f>
        <v>31817454</v>
      </c>
      <c r="AA6" s="18">
        <f t="shared" ref="AA6:AJ6" si="1">SUM(Z6-AA5)</f>
        <v>31757698</v>
      </c>
      <c r="AB6" s="18">
        <f t="shared" si="1"/>
        <v>31697942</v>
      </c>
      <c r="AC6" s="18">
        <f t="shared" si="1"/>
        <v>31638186</v>
      </c>
      <c r="AD6" s="18">
        <f t="shared" si="1"/>
        <v>31578429</v>
      </c>
      <c r="AE6" s="18">
        <f t="shared" si="1"/>
        <v>31518673</v>
      </c>
      <c r="AF6" s="18">
        <f t="shared" si="1"/>
        <v>31458917</v>
      </c>
      <c r="AG6" s="18">
        <f t="shared" si="1"/>
        <v>31399161</v>
      </c>
      <c r="AH6" s="18">
        <f t="shared" si="1"/>
        <v>31339405</v>
      </c>
      <c r="AI6" s="18">
        <f t="shared" si="1"/>
        <v>31279649</v>
      </c>
      <c r="AJ6" s="18">
        <f t="shared" si="1"/>
        <v>31219892</v>
      </c>
    </row>
    <row r="7" spans="1:36">
      <c r="A7" s="28" t="s">
        <v>16</v>
      </c>
      <c r="B7" s="35" t="s">
        <v>2</v>
      </c>
      <c r="C7" s="18"/>
      <c r="D7" s="19"/>
      <c r="E7" s="19"/>
      <c r="F7" s="19"/>
      <c r="G7" s="18"/>
      <c r="H7" s="18"/>
      <c r="I7" s="18"/>
      <c r="J7" s="18"/>
      <c r="K7" s="19"/>
      <c r="L7" s="18"/>
      <c r="M7" s="19">
        <v>19674</v>
      </c>
      <c r="N7" s="19">
        <v>30318</v>
      </c>
      <c r="O7" s="19">
        <v>30318</v>
      </c>
      <c r="P7" s="19">
        <v>30318</v>
      </c>
      <c r="Q7" s="19">
        <v>30318</v>
      </c>
      <c r="R7" s="19">
        <v>30318</v>
      </c>
      <c r="S7" s="19">
        <v>30318</v>
      </c>
      <c r="T7" s="19">
        <v>30318</v>
      </c>
      <c r="U7" s="19">
        <v>30318</v>
      </c>
      <c r="V7" s="19">
        <v>30318</v>
      </c>
      <c r="W7" s="19">
        <v>30318</v>
      </c>
      <c r="X7" s="19"/>
      <c r="Y7" s="19">
        <v>30318</v>
      </c>
      <c r="Z7" s="19">
        <v>30318</v>
      </c>
      <c r="AA7" s="19">
        <v>30318</v>
      </c>
      <c r="AB7" s="19">
        <v>30318</v>
      </c>
      <c r="AC7" s="19">
        <v>30318</v>
      </c>
      <c r="AD7" s="19">
        <v>30318</v>
      </c>
      <c r="AE7" s="19">
        <v>30318</v>
      </c>
      <c r="AF7" s="19">
        <v>30318</v>
      </c>
      <c r="AG7" s="19">
        <v>30318</v>
      </c>
      <c r="AH7" s="19">
        <v>30318</v>
      </c>
      <c r="AI7" s="19">
        <v>30318</v>
      </c>
      <c r="AJ7" s="19">
        <v>30318</v>
      </c>
    </row>
    <row r="8" spans="1:36">
      <c r="A8" s="28" t="s">
        <v>7</v>
      </c>
      <c r="B8" s="35" t="s">
        <v>2</v>
      </c>
      <c r="C8" s="18"/>
      <c r="D8" s="19"/>
      <c r="E8" s="19"/>
      <c r="F8" s="19"/>
      <c r="G8" s="19"/>
      <c r="H8" s="19"/>
      <c r="I8" s="19"/>
      <c r="J8" s="19"/>
      <c r="K8" s="19"/>
      <c r="L8" s="18"/>
      <c r="M8" s="19"/>
      <c r="N8" s="19">
        <v>6050</v>
      </c>
      <c r="O8" s="19">
        <v>6050</v>
      </c>
      <c r="P8" s="19">
        <v>6050</v>
      </c>
      <c r="Q8" s="19">
        <v>6050</v>
      </c>
      <c r="R8" s="19">
        <v>6050</v>
      </c>
      <c r="S8" s="19">
        <v>6050</v>
      </c>
      <c r="T8" s="19">
        <v>6050</v>
      </c>
      <c r="U8" s="19">
        <v>6050</v>
      </c>
      <c r="V8" s="19">
        <v>6050</v>
      </c>
      <c r="W8" s="19">
        <v>6050</v>
      </c>
      <c r="X8" s="19"/>
      <c r="Y8" s="18">
        <v>6050</v>
      </c>
      <c r="Z8" s="19">
        <v>6050</v>
      </c>
      <c r="AA8" s="19">
        <v>6050</v>
      </c>
      <c r="AB8" s="19">
        <v>6050</v>
      </c>
      <c r="AC8" s="19">
        <v>6050</v>
      </c>
      <c r="AD8" s="19">
        <v>6050</v>
      </c>
      <c r="AE8" s="19">
        <v>6050</v>
      </c>
      <c r="AF8" s="19">
        <v>6050</v>
      </c>
      <c r="AG8" s="19">
        <v>6050</v>
      </c>
      <c r="AH8" s="19"/>
      <c r="AI8" s="19"/>
      <c r="AJ8" s="19"/>
    </row>
    <row r="9" spans="1:36">
      <c r="A9" s="28" t="s">
        <v>8</v>
      </c>
      <c r="B9" s="35" t="s">
        <v>2</v>
      </c>
      <c r="C9" s="18">
        <v>3724290</v>
      </c>
      <c r="D9" s="19">
        <v>0</v>
      </c>
      <c r="E9" s="19">
        <v>0</v>
      </c>
      <c r="F9" s="19">
        <v>0</v>
      </c>
      <c r="G9" s="18">
        <v>0</v>
      </c>
      <c r="H9" s="18">
        <v>0</v>
      </c>
      <c r="I9" s="18">
        <v>0</v>
      </c>
      <c r="J9" s="18">
        <v>0</v>
      </c>
      <c r="K9" s="19"/>
      <c r="L9" s="19">
        <v>0</v>
      </c>
      <c r="M9" s="19">
        <v>57202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171141</v>
      </c>
      <c r="V9" s="19">
        <v>0</v>
      </c>
      <c r="W9" s="19">
        <v>0</v>
      </c>
      <c r="X9" s="19"/>
      <c r="Y9" s="19">
        <v>0</v>
      </c>
      <c r="Z9" s="19">
        <v>0</v>
      </c>
      <c r="AA9" s="19">
        <v>0</v>
      </c>
      <c r="AB9" s="19">
        <v>0</v>
      </c>
      <c r="AC9" s="19"/>
      <c r="AD9" s="19"/>
      <c r="AE9" s="19"/>
      <c r="AF9" s="19"/>
      <c r="AG9" s="19"/>
      <c r="AH9" s="19"/>
      <c r="AI9" s="19"/>
      <c r="AJ9" s="19"/>
    </row>
    <row r="10" spans="1:36">
      <c r="A10" s="28" t="s">
        <v>9</v>
      </c>
      <c r="B10" s="35" t="s">
        <v>2</v>
      </c>
      <c r="C10" s="20"/>
      <c r="D10" s="21"/>
      <c r="E10" s="21"/>
      <c r="F10" s="21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 spans="1:36">
      <c r="A11" s="28" t="s">
        <v>10</v>
      </c>
      <c r="B11" s="35" t="s">
        <v>2</v>
      </c>
      <c r="C11" s="22"/>
      <c r="D11" s="23"/>
      <c r="E11" s="23"/>
      <c r="F11" s="23"/>
      <c r="G11" s="22"/>
      <c r="H11" s="22"/>
      <c r="I11" s="22"/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>
      <c r="A12" s="28" t="s">
        <v>11</v>
      </c>
      <c r="B12" s="35" t="s">
        <v>2</v>
      </c>
      <c r="C12" s="22"/>
      <c r="D12" s="23"/>
      <c r="E12" s="23"/>
      <c r="F12" s="23"/>
      <c r="G12" s="22"/>
      <c r="H12" s="22"/>
      <c r="I12" s="22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>
      <c r="A13" s="28" t="s">
        <v>12</v>
      </c>
      <c r="B13" s="35" t="s">
        <v>2</v>
      </c>
      <c r="C13" s="22"/>
      <c r="D13" s="29">
        <f>SUM(D4-D7-D8-D9)</f>
        <v>0</v>
      </c>
      <c r="E13" s="29">
        <f t="shared" ref="E13:J13" si="2">SUM(E4-E7-E8-E9)</f>
        <v>0</v>
      </c>
      <c r="F13" s="29">
        <f t="shared" si="2"/>
        <v>0</v>
      </c>
      <c r="G13" s="29">
        <f t="shared" si="2"/>
        <v>0</v>
      </c>
      <c r="H13" s="29">
        <f t="shared" si="2"/>
        <v>0</v>
      </c>
      <c r="I13" s="29">
        <f t="shared" si="2"/>
        <v>0</v>
      </c>
      <c r="J13" s="29">
        <f t="shared" si="2"/>
        <v>0</v>
      </c>
      <c r="K13" s="29"/>
      <c r="L13" s="29">
        <f>SUM(L4-L7-L8-L9)</f>
        <v>0</v>
      </c>
      <c r="M13" s="29">
        <f t="shared" ref="M13:W13" si="3">SUM(M4-M7-M8-M9)</f>
        <v>124791</v>
      </c>
      <c r="N13" s="29">
        <f t="shared" si="3"/>
        <v>238632</v>
      </c>
      <c r="O13" s="29">
        <f t="shared" si="3"/>
        <v>238632</v>
      </c>
      <c r="P13" s="29">
        <f t="shared" si="3"/>
        <v>238632</v>
      </c>
      <c r="Q13" s="29">
        <f t="shared" si="3"/>
        <v>238632</v>
      </c>
      <c r="R13" s="29">
        <f t="shared" si="3"/>
        <v>238632</v>
      </c>
      <c r="S13" s="29">
        <f t="shared" si="3"/>
        <v>238632</v>
      </c>
      <c r="T13" s="29">
        <f t="shared" si="3"/>
        <v>238632</v>
      </c>
      <c r="U13" s="29">
        <f t="shared" si="3"/>
        <v>67491</v>
      </c>
      <c r="V13" s="29">
        <f t="shared" si="3"/>
        <v>238632</v>
      </c>
      <c r="W13" s="29">
        <f t="shared" si="3"/>
        <v>238632</v>
      </c>
      <c r="X13" s="29"/>
      <c r="Y13" s="29">
        <f>SUM(Y4-Y7-Y8-Y9)</f>
        <v>238632</v>
      </c>
      <c r="Z13" s="29">
        <f t="shared" ref="Z13:AJ13" si="4">SUM(Z4-Z7-Z8-Z9)</f>
        <v>238632</v>
      </c>
      <c r="AA13" s="29">
        <f t="shared" si="4"/>
        <v>238632</v>
      </c>
      <c r="AB13" s="29">
        <f t="shared" si="4"/>
        <v>238632</v>
      </c>
      <c r="AC13" s="29">
        <f t="shared" si="4"/>
        <v>238632</v>
      </c>
      <c r="AD13" s="29">
        <f t="shared" si="4"/>
        <v>238632</v>
      </c>
      <c r="AE13" s="29">
        <f t="shared" si="4"/>
        <v>238632</v>
      </c>
      <c r="AF13" s="29">
        <f t="shared" si="4"/>
        <v>238632</v>
      </c>
      <c r="AG13" s="29">
        <f t="shared" si="4"/>
        <v>238632</v>
      </c>
      <c r="AH13" s="29">
        <f t="shared" si="4"/>
        <v>-30318</v>
      </c>
      <c r="AI13" s="29">
        <f t="shared" si="4"/>
        <v>-30318</v>
      </c>
      <c r="AJ13" s="29">
        <f t="shared" si="4"/>
        <v>-30318</v>
      </c>
    </row>
    <row r="14" spans="1:36">
      <c r="A14" s="28" t="s">
        <v>13</v>
      </c>
      <c r="B14" s="35" t="s">
        <v>2</v>
      </c>
      <c r="C14" s="22"/>
      <c r="D14" s="23"/>
      <c r="E14" s="23"/>
      <c r="F14" s="23"/>
      <c r="G14" s="22"/>
      <c r="H14" s="22"/>
      <c r="I14" s="22"/>
      <c r="J14" s="2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</row>
    <row r="15" spans="1:36">
      <c r="A15" s="24" t="s">
        <v>42</v>
      </c>
      <c r="M15" t="s">
        <v>43</v>
      </c>
    </row>
    <row r="16" spans="1:36">
      <c r="M16" t="s">
        <v>42</v>
      </c>
    </row>
  </sheetData>
  <phoneticPr fontId="2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45EF-0FA4-4D38-BB45-B8BB9C0F9ED1}">
  <dimension ref="A1:AJ27"/>
  <sheetViews>
    <sheetView zoomScale="85" zoomScaleNormal="85" workbookViewId="0">
      <pane xSplit="3" ySplit="2" topLeftCell="X3" activePane="bottomRight" state="frozen"/>
      <selection pane="topRight" activeCell="D1" sqref="D1"/>
      <selection pane="bottomLeft" activeCell="A3" sqref="A3"/>
      <selection pane="bottomRight" activeCell="AI24" sqref="AI24"/>
    </sheetView>
  </sheetViews>
  <sheetFormatPr defaultRowHeight="18"/>
  <cols>
    <col min="1" max="1" width="19.69921875" style="24" customWidth="1"/>
    <col min="2" max="2" width="4.3984375" style="33" customWidth="1"/>
    <col min="3" max="3" width="11.59765625" bestFit="1" customWidth="1"/>
    <col min="4" max="4" width="10.8984375" customWidth="1"/>
    <col min="5" max="5" width="11.59765625" bestFit="1" customWidth="1"/>
    <col min="6" max="6" width="10.19921875" bestFit="1" customWidth="1"/>
    <col min="7" max="7" width="11.59765625" bestFit="1" customWidth="1"/>
    <col min="8" max="8" width="10.19921875" bestFit="1" customWidth="1"/>
    <col min="9" max="9" width="11.5" bestFit="1" customWidth="1"/>
    <col min="10" max="10" width="10.19921875" bestFit="1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36" width="11.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7" t="s">
        <v>44</v>
      </c>
      <c r="B2" s="35"/>
      <c r="C2" s="32">
        <v>45663</v>
      </c>
      <c r="D2" s="19"/>
      <c r="E2" s="19"/>
      <c r="F2" s="19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spans="1:36">
      <c r="A3" s="28" t="s">
        <v>1</v>
      </c>
      <c r="B3" s="35" t="s">
        <v>2</v>
      </c>
      <c r="C3" s="18">
        <v>101056947</v>
      </c>
      <c r="D3" s="19"/>
      <c r="E3" s="19"/>
      <c r="F3" s="19"/>
      <c r="G3" s="18"/>
      <c r="H3" s="18"/>
      <c r="I3" s="18"/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</row>
    <row r="4" spans="1:36">
      <c r="A4" s="28" t="s">
        <v>15</v>
      </c>
      <c r="B4" s="35" t="s">
        <v>2</v>
      </c>
      <c r="C4" s="18"/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/>
      <c r="L4" s="18">
        <v>0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>
        <v>600000</v>
      </c>
      <c r="AA4" s="18">
        <v>600000</v>
      </c>
      <c r="AB4" s="18">
        <v>600000</v>
      </c>
      <c r="AC4" s="18">
        <v>600000</v>
      </c>
      <c r="AD4" s="18">
        <v>600000</v>
      </c>
      <c r="AE4" s="18">
        <v>600000</v>
      </c>
      <c r="AF4" s="18"/>
      <c r="AG4" s="18"/>
      <c r="AH4" s="18"/>
      <c r="AI4" s="18"/>
      <c r="AJ4" s="18"/>
    </row>
    <row r="5" spans="1:36">
      <c r="A5" s="28" t="s">
        <v>4</v>
      </c>
      <c r="B5" s="35" t="s">
        <v>2</v>
      </c>
      <c r="C5" s="18"/>
      <c r="D5" s="18"/>
      <c r="E5" s="18"/>
      <c r="F5" s="18"/>
      <c r="G5" s="18"/>
      <c r="H5" s="18"/>
      <c r="I5" s="18"/>
      <c r="J5" s="18"/>
      <c r="K5" s="19"/>
      <c r="L5" s="18">
        <v>0</v>
      </c>
      <c r="M5" s="18"/>
      <c r="N5" s="18"/>
      <c r="O5" s="18"/>
      <c r="P5" s="18">
        <v>190989</v>
      </c>
      <c r="Q5" s="18">
        <v>190990</v>
      </c>
      <c r="R5" s="18">
        <v>190989</v>
      </c>
      <c r="S5" s="18">
        <v>190989</v>
      </c>
      <c r="T5" s="18">
        <v>190989</v>
      </c>
      <c r="U5" s="18">
        <v>190989</v>
      </c>
      <c r="V5" s="18">
        <v>190989</v>
      </c>
      <c r="W5" s="18">
        <v>190990</v>
      </c>
      <c r="X5" s="19"/>
      <c r="Y5" s="18">
        <v>190989</v>
      </c>
      <c r="Z5" s="18">
        <v>190989</v>
      </c>
      <c r="AA5" s="18">
        <v>190989</v>
      </c>
      <c r="AB5" s="18">
        <v>190989</v>
      </c>
      <c r="AC5" s="18">
        <v>190989</v>
      </c>
      <c r="AD5" s="18">
        <v>190990</v>
      </c>
      <c r="AE5" s="18">
        <v>190989</v>
      </c>
      <c r="AF5" s="18">
        <v>190989</v>
      </c>
      <c r="AG5" s="18">
        <v>190989</v>
      </c>
      <c r="AH5" s="18">
        <v>190989</v>
      </c>
      <c r="AI5" s="18">
        <v>190989</v>
      </c>
      <c r="AJ5" s="18">
        <v>190991</v>
      </c>
    </row>
    <row r="6" spans="1:36">
      <c r="A6" s="28" t="s">
        <v>5</v>
      </c>
      <c r="B6" s="35" t="s">
        <v>2</v>
      </c>
      <c r="C6" s="18">
        <v>104175956</v>
      </c>
      <c r="D6" s="18"/>
      <c r="E6" s="18"/>
      <c r="F6" s="18"/>
      <c r="G6" s="18"/>
      <c r="H6" s="18"/>
      <c r="I6" s="18"/>
      <c r="J6" s="18"/>
      <c r="K6" s="19"/>
      <c r="L6" s="18"/>
      <c r="M6" s="18"/>
      <c r="N6" s="18"/>
      <c r="O6" s="18"/>
      <c r="P6" s="18">
        <f>C6-P5</f>
        <v>103984967</v>
      </c>
      <c r="Q6" s="18">
        <f t="shared" ref="Q6:W6" si="0">SUM(P6-Q5)</f>
        <v>103793977</v>
      </c>
      <c r="R6" s="18">
        <f t="shared" si="0"/>
        <v>103602988</v>
      </c>
      <c r="S6" s="18">
        <f t="shared" si="0"/>
        <v>103411999</v>
      </c>
      <c r="T6" s="18">
        <f t="shared" si="0"/>
        <v>103221010</v>
      </c>
      <c r="U6" s="18">
        <f t="shared" si="0"/>
        <v>103030021</v>
      </c>
      <c r="V6" s="18">
        <f t="shared" si="0"/>
        <v>102839032</v>
      </c>
      <c r="W6" s="18">
        <f t="shared" si="0"/>
        <v>102648042</v>
      </c>
      <c r="X6" s="19"/>
      <c r="Y6" s="18">
        <f>W6-Y5</f>
        <v>102457053</v>
      </c>
      <c r="Z6" s="18">
        <f>Y6-Z5</f>
        <v>102266064</v>
      </c>
      <c r="AA6" s="18">
        <f t="shared" ref="AA6:AJ6" si="1">Z6-AA5</f>
        <v>102075075</v>
      </c>
      <c r="AB6" s="18">
        <f t="shared" si="1"/>
        <v>101884086</v>
      </c>
      <c r="AC6" s="18">
        <f t="shared" si="1"/>
        <v>101693097</v>
      </c>
      <c r="AD6" s="18">
        <f t="shared" si="1"/>
        <v>101502107</v>
      </c>
      <c r="AE6" s="18">
        <f t="shared" si="1"/>
        <v>101311118</v>
      </c>
      <c r="AF6" s="18">
        <f t="shared" si="1"/>
        <v>101120129</v>
      </c>
      <c r="AG6" s="18">
        <f t="shared" si="1"/>
        <v>100929140</v>
      </c>
      <c r="AH6" s="18">
        <f t="shared" si="1"/>
        <v>100738151</v>
      </c>
      <c r="AI6" s="18">
        <f t="shared" si="1"/>
        <v>100547162</v>
      </c>
      <c r="AJ6" s="18">
        <f t="shared" si="1"/>
        <v>100356171</v>
      </c>
    </row>
    <row r="7" spans="1:36">
      <c r="A7" s="28" t="s">
        <v>16</v>
      </c>
      <c r="B7" s="35" t="s">
        <v>2</v>
      </c>
      <c r="C7" s="18">
        <v>83551</v>
      </c>
      <c r="D7" s="19"/>
      <c r="E7" s="19"/>
      <c r="F7" s="19"/>
      <c r="G7" s="18"/>
      <c r="H7" s="18"/>
      <c r="I7" s="18"/>
      <c r="J7" s="18"/>
      <c r="K7" s="19"/>
      <c r="L7" s="18"/>
      <c r="M7" s="19"/>
      <c r="N7" s="19"/>
      <c r="O7" s="19"/>
      <c r="P7" s="19"/>
      <c r="Q7" s="19">
        <v>70075</v>
      </c>
      <c r="R7" s="19">
        <v>83551</v>
      </c>
      <c r="S7" s="19">
        <v>83551</v>
      </c>
      <c r="T7" s="19">
        <v>83551</v>
      </c>
      <c r="U7" s="19">
        <v>83551</v>
      </c>
      <c r="V7" s="19">
        <v>83551</v>
      </c>
      <c r="W7" s="19">
        <v>83551</v>
      </c>
      <c r="X7" s="19"/>
      <c r="Y7" s="19">
        <v>83551</v>
      </c>
      <c r="Z7" s="19">
        <v>83551</v>
      </c>
      <c r="AA7" s="19">
        <v>83551</v>
      </c>
      <c r="AB7" s="19">
        <v>83551</v>
      </c>
      <c r="AC7" s="19">
        <v>83551</v>
      </c>
      <c r="AD7" s="19">
        <v>83551</v>
      </c>
      <c r="AE7" s="19">
        <v>83551</v>
      </c>
      <c r="AF7" s="19">
        <v>83551</v>
      </c>
      <c r="AG7" s="19">
        <v>83551</v>
      </c>
      <c r="AH7" s="19">
        <v>83551</v>
      </c>
      <c r="AI7" s="19">
        <v>83551</v>
      </c>
      <c r="AJ7" s="19">
        <v>83551</v>
      </c>
    </row>
    <row r="8" spans="1:36">
      <c r="A8" s="28" t="s">
        <v>7</v>
      </c>
      <c r="B8" s="35" t="s">
        <v>2</v>
      </c>
      <c r="C8" s="18"/>
      <c r="D8" s="19"/>
      <c r="E8" s="19"/>
      <c r="F8" s="19"/>
      <c r="G8" s="19"/>
      <c r="H8" s="19"/>
      <c r="I8" s="19"/>
      <c r="J8" s="19"/>
      <c r="K8" s="19"/>
      <c r="L8" s="18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</row>
    <row r="9" spans="1:36">
      <c r="A9" s="28" t="s">
        <v>8</v>
      </c>
      <c r="B9" s="35" t="s">
        <v>2</v>
      </c>
      <c r="C9" s="18">
        <v>55179520</v>
      </c>
      <c r="D9" s="19">
        <v>0</v>
      </c>
      <c r="E9" s="19">
        <v>0</v>
      </c>
      <c r="F9" s="19">
        <v>0</v>
      </c>
      <c r="G9" s="18">
        <v>0</v>
      </c>
      <c r="H9" s="18">
        <v>0</v>
      </c>
      <c r="I9" s="18">
        <v>0</v>
      </c>
      <c r="J9" s="18">
        <v>0</v>
      </c>
      <c r="K9" s="19"/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-1405</v>
      </c>
      <c r="R9" s="19">
        <v>2218</v>
      </c>
      <c r="S9" s="19">
        <v>1294</v>
      </c>
      <c r="T9" s="19">
        <v>5933</v>
      </c>
      <c r="U9" s="19">
        <v>136130</v>
      </c>
      <c r="V9" s="19">
        <v>1766</v>
      </c>
      <c r="W9" s="19">
        <v>2612</v>
      </c>
      <c r="X9" s="19"/>
      <c r="Y9" s="19">
        <v>2687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</row>
    <row r="10" spans="1:36">
      <c r="A10" s="28" t="s">
        <v>9</v>
      </c>
      <c r="B10" s="35" t="s">
        <v>2</v>
      </c>
      <c r="C10" s="20"/>
      <c r="D10" s="21"/>
      <c r="E10" s="21"/>
      <c r="F10" s="21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 spans="1:36">
      <c r="A11" s="28" t="s">
        <v>10</v>
      </c>
      <c r="B11" s="35" t="s">
        <v>2</v>
      </c>
      <c r="C11" s="22"/>
      <c r="D11" s="23"/>
      <c r="E11" s="23"/>
      <c r="F11" s="23"/>
      <c r="G11" s="22"/>
      <c r="H11" s="22"/>
      <c r="I11" s="22"/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>
      <c r="A12" s="28" t="s">
        <v>11</v>
      </c>
      <c r="B12" s="35" t="s">
        <v>2</v>
      </c>
      <c r="C12" s="22"/>
      <c r="D12" s="23"/>
      <c r="E12" s="23"/>
      <c r="F12" s="23"/>
      <c r="G12" s="22"/>
      <c r="H12" s="22"/>
      <c r="I12" s="22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>
      <c r="A13" s="28" t="s">
        <v>12</v>
      </c>
      <c r="B13" s="35" t="s">
        <v>2</v>
      </c>
      <c r="C13" s="22"/>
      <c r="D13" s="29">
        <f>SUM(D4-D7-D8-D9)</f>
        <v>0</v>
      </c>
      <c r="E13" s="29">
        <f t="shared" ref="E13:J13" si="2">SUM(E4-E7-E8-E9)</f>
        <v>0</v>
      </c>
      <c r="F13" s="29">
        <f t="shared" si="2"/>
        <v>0</v>
      </c>
      <c r="G13" s="29">
        <f t="shared" si="2"/>
        <v>0</v>
      </c>
      <c r="H13" s="29">
        <f t="shared" si="2"/>
        <v>0</v>
      </c>
      <c r="I13" s="29">
        <f t="shared" si="2"/>
        <v>0</v>
      </c>
      <c r="J13" s="29">
        <f t="shared" si="2"/>
        <v>0</v>
      </c>
      <c r="K13" s="29"/>
      <c r="L13" s="29">
        <f>SUM(L4-L7-L8-L9)</f>
        <v>0</v>
      </c>
      <c r="M13" s="29">
        <f t="shared" ref="M13:W13" si="3">SUM(M4-M7-M8-M9)</f>
        <v>0</v>
      </c>
      <c r="N13" s="29">
        <f t="shared" si="3"/>
        <v>0</v>
      </c>
      <c r="O13" s="29">
        <f t="shared" si="3"/>
        <v>0</v>
      </c>
      <c r="P13" s="29">
        <f t="shared" si="3"/>
        <v>0</v>
      </c>
      <c r="Q13" s="29">
        <f t="shared" si="3"/>
        <v>-68670</v>
      </c>
      <c r="R13" s="29">
        <f t="shared" si="3"/>
        <v>-85769</v>
      </c>
      <c r="S13" s="29">
        <f t="shared" si="3"/>
        <v>-84845</v>
      </c>
      <c r="T13" s="29">
        <f t="shared" si="3"/>
        <v>-89484</v>
      </c>
      <c r="U13" s="29">
        <f t="shared" si="3"/>
        <v>-219681</v>
      </c>
      <c r="V13" s="29">
        <f t="shared" si="3"/>
        <v>-85317</v>
      </c>
      <c r="W13" s="29">
        <f t="shared" si="3"/>
        <v>-86163</v>
      </c>
      <c r="X13" s="29"/>
      <c r="Y13" s="29">
        <f>SUM(Y4-Y7-Y8-Y9)</f>
        <v>-86238</v>
      </c>
      <c r="Z13" s="29">
        <f t="shared" ref="Z13:AJ13" si="4">SUM(Z4-Z7-Z8-Z9)</f>
        <v>516449</v>
      </c>
      <c r="AA13" s="29">
        <f t="shared" si="4"/>
        <v>516449</v>
      </c>
      <c r="AB13" s="29">
        <f t="shared" si="4"/>
        <v>516449</v>
      </c>
      <c r="AC13" s="29">
        <f t="shared" si="4"/>
        <v>516449</v>
      </c>
      <c r="AD13" s="29">
        <f t="shared" si="4"/>
        <v>516449</v>
      </c>
      <c r="AE13" s="29">
        <f t="shared" si="4"/>
        <v>516449</v>
      </c>
      <c r="AF13" s="29">
        <f t="shared" si="4"/>
        <v>-83551</v>
      </c>
      <c r="AG13" s="29">
        <f t="shared" si="4"/>
        <v>-83551</v>
      </c>
      <c r="AH13" s="29">
        <f t="shared" si="4"/>
        <v>-83551</v>
      </c>
      <c r="AI13" s="29">
        <f t="shared" si="4"/>
        <v>-83551</v>
      </c>
      <c r="AJ13" s="29">
        <f t="shared" si="4"/>
        <v>-83551</v>
      </c>
    </row>
    <row r="14" spans="1:36">
      <c r="A14" s="28" t="s">
        <v>13</v>
      </c>
      <c r="B14" s="35" t="s">
        <v>2</v>
      </c>
      <c r="C14" s="22"/>
      <c r="D14" s="23"/>
      <c r="E14" s="23"/>
      <c r="F14" s="23"/>
      <c r="G14" s="22"/>
      <c r="H14" s="22"/>
      <c r="I14" s="22"/>
      <c r="J14" s="2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</row>
    <row r="15" spans="1:36">
      <c r="A15" s="24" t="s">
        <v>45</v>
      </c>
      <c r="Y15" t="s">
        <v>46</v>
      </c>
    </row>
    <row r="18" spans="3:10">
      <c r="C18" s="71"/>
      <c r="D18" s="71"/>
      <c r="E18" s="72"/>
      <c r="F18" s="71"/>
      <c r="G18" s="71"/>
      <c r="H18" s="71"/>
      <c r="I18" s="71"/>
      <c r="J18" s="71"/>
    </row>
    <row r="19" spans="3:10">
      <c r="C19" s="71"/>
      <c r="D19" s="71"/>
      <c r="E19" s="73"/>
      <c r="F19" s="71"/>
      <c r="G19" s="71"/>
      <c r="H19" s="71"/>
      <c r="I19" s="71"/>
      <c r="J19" s="71"/>
    </row>
    <row r="20" spans="3:10">
      <c r="C20" s="71"/>
      <c r="D20" s="71"/>
      <c r="E20" s="71"/>
      <c r="F20" s="71"/>
      <c r="G20" s="71"/>
      <c r="H20" s="71"/>
      <c r="I20" s="71"/>
      <c r="J20" s="71"/>
    </row>
    <row r="21" spans="3:10">
      <c r="C21" s="71"/>
      <c r="D21" s="71"/>
      <c r="E21" s="71"/>
      <c r="F21" s="71"/>
      <c r="G21" s="71"/>
      <c r="H21" s="71"/>
      <c r="I21" s="71"/>
      <c r="J21" s="71"/>
    </row>
    <row r="22" spans="3:10">
      <c r="C22" s="71"/>
      <c r="D22" s="71"/>
      <c r="E22" s="71"/>
      <c r="F22" s="71"/>
      <c r="G22" s="71"/>
      <c r="H22" s="71"/>
      <c r="I22" s="71"/>
      <c r="J22" s="71"/>
    </row>
    <row r="23" spans="3:10">
      <c r="C23" s="71"/>
      <c r="D23" s="71"/>
      <c r="E23" s="71"/>
      <c r="F23" s="71"/>
      <c r="G23" s="71"/>
      <c r="H23" s="71"/>
      <c r="I23" s="71"/>
      <c r="J23" s="71"/>
    </row>
    <row r="24" spans="3:10">
      <c r="C24" s="71"/>
      <c r="D24" s="71"/>
      <c r="E24" s="71"/>
      <c r="F24" s="71"/>
      <c r="G24" s="71"/>
      <c r="H24" s="71"/>
      <c r="I24" s="71"/>
      <c r="J24" s="71"/>
    </row>
    <row r="25" spans="3:10">
      <c r="C25" s="71"/>
      <c r="D25" s="71"/>
      <c r="E25" s="71"/>
      <c r="F25" s="71"/>
      <c r="G25" s="71"/>
      <c r="H25" s="71"/>
      <c r="I25" s="71"/>
      <c r="J25" s="71"/>
    </row>
    <row r="26" spans="3:10">
      <c r="C26" s="71"/>
      <c r="D26" s="71"/>
      <c r="E26" s="71"/>
      <c r="F26" s="71"/>
      <c r="G26" s="71"/>
      <c r="H26" s="71"/>
      <c r="I26" s="71"/>
      <c r="J26" s="71"/>
    </row>
    <row r="27" spans="3:10">
      <c r="C27" s="71"/>
      <c r="D27" s="71"/>
      <c r="E27" s="71"/>
      <c r="F27" s="71"/>
      <c r="G27" s="71"/>
      <c r="H27" s="71"/>
      <c r="I27" s="71"/>
      <c r="J27" s="71"/>
    </row>
  </sheetData>
  <phoneticPr fontId="2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87B0-28E6-4E26-9E30-48B685C3EDDB}">
  <dimension ref="A1:AJ14"/>
  <sheetViews>
    <sheetView zoomScale="85" zoomScaleNormal="85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I20" sqref="I20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09765625" bestFit="1" customWidth="1"/>
    <col min="27" max="29" width="11.19921875" bestFit="1" customWidth="1"/>
    <col min="30" max="36" width="10.0976562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5" t="s">
        <v>47</v>
      </c>
      <c r="B2" s="34"/>
      <c r="C2" s="31">
        <v>46038</v>
      </c>
      <c r="D2" s="13"/>
      <c r="E2" s="13"/>
      <c r="F2" s="13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>
      <c r="A3" s="26" t="s">
        <v>1</v>
      </c>
      <c r="B3" s="34" t="s">
        <v>2</v>
      </c>
      <c r="C3" s="12">
        <v>150000000</v>
      </c>
      <c r="D3" s="13"/>
      <c r="E3" s="13"/>
      <c r="F3" s="13"/>
      <c r="G3" s="12"/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>
      <c r="A4" s="26" t="s">
        <v>15</v>
      </c>
      <c r="B4" s="34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/>
      <c r="AG4" s="12"/>
      <c r="AH4" s="12"/>
      <c r="AI4" s="12"/>
      <c r="AJ4" s="12"/>
    </row>
    <row r="5" spans="1:36">
      <c r="A5" s="26" t="s">
        <v>4</v>
      </c>
      <c r="B5" s="34" t="s">
        <v>2</v>
      </c>
      <c r="C5" s="12"/>
      <c r="D5" s="13"/>
      <c r="E5" s="13"/>
      <c r="F5" s="13"/>
      <c r="G5" s="13"/>
      <c r="H5" s="13"/>
      <c r="I5" s="13"/>
      <c r="J5" s="1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>
        <v>0</v>
      </c>
      <c r="Z5" s="13"/>
      <c r="AA5" s="13"/>
      <c r="AB5" s="13"/>
      <c r="AC5" s="13"/>
      <c r="AD5" s="13">
        <v>115832</v>
      </c>
      <c r="AE5" s="13">
        <v>115832</v>
      </c>
      <c r="AF5" s="13">
        <v>115832</v>
      </c>
      <c r="AG5" s="13">
        <v>115832</v>
      </c>
      <c r="AH5" s="13">
        <v>115832</v>
      </c>
      <c r="AI5" s="13">
        <v>115832</v>
      </c>
      <c r="AJ5" s="13">
        <v>115832</v>
      </c>
    </row>
    <row r="6" spans="1:36">
      <c r="A6" s="26" t="s">
        <v>5</v>
      </c>
      <c r="B6" s="34" t="s">
        <v>2</v>
      </c>
      <c r="C6" s="12">
        <v>49642320</v>
      </c>
      <c r="D6" s="12"/>
      <c r="E6" s="12"/>
      <c r="F6" s="12"/>
      <c r="G6" s="12"/>
      <c r="H6" s="12"/>
      <c r="I6" s="12"/>
      <c r="J6" s="12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3"/>
      <c r="Y6" s="12">
        <f>C6-Y5</f>
        <v>49642320</v>
      </c>
      <c r="Z6" s="12">
        <f>Y6-Z5</f>
        <v>49642320</v>
      </c>
      <c r="AA6" s="12">
        <f t="shared" ref="AA6:AJ6" si="0">Z6-AA5</f>
        <v>49642320</v>
      </c>
      <c r="AB6" s="12">
        <f t="shared" si="0"/>
        <v>49642320</v>
      </c>
      <c r="AC6" s="12">
        <v>49642320</v>
      </c>
      <c r="AD6" s="12">
        <f t="shared" si="0"/>
        <v>49526488</v>
      </c>
      <c r="AE6" s="12">
        <f t="shared" si="0"/>
        <v>49410656</v>
      </c>
      <c r="AF6" s="12">
        <f t="shared" si="0"/>
        <v>49294824</v>
      </c>
      <c r="AG6" s="12">
        <f t="shared" si="0"/>
        <v>49178992</v>
      </c>
      <c r="AH6" s="12">
        <f t="shared" si="0"/>
        <v>49063160</v>
      </c>
      <c r="AI6" s="12">
        <f t="shared" si="0"/>
        <v>48947328</v>
      </c>
      <c r="AJ6" s="12">
        <f t="shared" si="0"/>
        <v>48831496</v>
      </c>
    </row>
    <row r="7" spans="1:36">
      <c r="A7" s="26" t="s">
        <v>33</v>
      </c>
      <c r="B7" s="34" t="s">
        <v>2</v>
      </c>
      <c r="C7" s="12">
        <v>45568</v>
      </c>
      <c r="D7" s="13"/>
      <c r="E7" s="13"/>
      <c r="F7" s="13"/>
      <c r="G7" s="12"/>
      <c r="H7" s="12"/>
      <c r="I7" s="12"/>
      <c r="J7" s="12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3"/>
      <c r="Y7" s="12"/>
      <c r="Z7" s="12"/>
      <c r="AA7" s="12"/>
      <c r="AB7" s="12"/>
      <c r="AC7" s="12"/>
      <c r="AD7" s="12"/>
      <c r="AE7" s="12"/>
      <c r="AF7" s="12">
        <v>45568</v>
      </c>
      <c r="AG7" s="12"/>
      <c r="AH7" s="12"/>
      <c r="AI7" s="12"/>
      <c r="AJ7" s="12"/>
    </row>
    <row r="8" spans="1:36">
      <c r="A8" s="26" t="s">
        <v>7</v>
      </c>
      <c r="B8" s="34" t="s">
        <v>2</v>
      </c>
      <c r="C8" s="12"/>
      <c r="D8" s="13"/>
      <c r="E8" s="13"/>
      <c r="F8" s="13"/>
      <c r="G8" s="12"/>
      <c r="H8" s="12"/>
      <c r="I8" s="12"/>
      <c r="J8" s="12"/>
      <c r="K8" s="13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3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>
      <c r="A9" s="26" t="s">
        <v>8</v>
      </c>
      <c r="B9" s="34" t="s">
        <v>2</v>
      </c>
      <c r="C9" s="12">
        <v>5295115</v>
      </c>
      <c r="D9" s="13"/>
      <c r="E9" s="13"/>
      <c r="F9" s="13"/>
      <c r="G9" s="12"/>
      <c r="H9" s="12"/>
      <c r="I9" s="12"/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2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2"/>
      <c r="AI9" s="13"/>
      <c r="AJ9" s="13"/>
    </row>
    <row r="10" spans="1:36">
      <c r="A10" s="26" t="s">
        <v>9</v>
      </c>
      <c r="B10" s="34" t="s">
        <v>2</v>
      </c>
      <c r="C10" s="14"/>
      <c r="D10" s="15"/>
      <c r="E10" s="15"/>
      <c r="F10" s="15"/>
      <c r="G10" s="14"/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>
      <c r="A11" s="26" t="s">
        <v>10</v>
      </c>
      <c r="B11" s="34" t="s">
        <v>2</v>
      </c>
      <c r="C11" s="16"/>
      <c r="D11" s="17"/>
      <c r="E11" s="17"/>
      <c r="F11" s="17"/>
      <c r="G11" s="16"/>
      <c r="H11" s="16"/>
      <c r="I11" s="16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spans="1:36">
      <c r="A12" s="26" t="s">
        <v>11</v>
      </c>
      <c r="B12" s="34" t="s">
        <v>2</v>
      </c>
      <c r="C12" s="16"/>
      <c r="D12" s="17"/>
      <c r="E12" s="17"/>
      <c r="F12" s="17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 spans="1:36">
      <c r="A13" s="26" t="s">
        <v>12</v>
      </c>
      <c r="B13" s="34" t="s">
        <v>2</v>
      </c>
      <c r="C13" s="16"/>
      <c r="D13" s="30">
        <f>SUM(D4-D7-D8-D9)</f>
        <v>0</v>
      </c>
      <c r="E13" s="30">
        <f t="shared" ref="E13:J13" si="1">SUM(E4-E7-E8-E9)</f>
        <v>0</v>
      </c>
      <c r="F13" s="30">
        <f t="shared" si="1"/>
        <v>0</v>
      </c>
      <c r="G13" s="30">
        <f t="shared" si="1"/>
        <v>0</v>
      </c>
      <c r="H13" s="30">
        <f t="shared" si="1"/>
        <v>0</v>
      </c>
      <c r="I13" s="30">
        <f t="shared" si="1"/>
        <v>0</v>
      </c>
      <c r="J13" s="30">
        <f t="shared" si="1"/>
        <v>0</v>
      </c>
      <c r="K13" s="30"/>
      <c r="L13" s="30">
        <f>SUM(L4-L7-L8-L9)</f>
        <v>0</v>
      </c>
      <c r="M13" s="30">
        <f t="shared" ref="M13:W13" si="2">SUM(M4-M7-M8-M9)</f>
        <v>0</v>
      </c>
      <c r="N13" s="30">
        <f t="shared" si="2"/>
        <v>0</v>
      </c>
      <c r="O13" s="30">
        <f t="shared" si="2"/>
        <v>0</v>
      </c>
      <c r="P13" s="30">
        <f t="shared" si="2"/>
        <v>0</v>
      </c>
      <c r="Q13" s="30">
        <f t="shared" si="2"/>
        <v>0</v>
      </c>
      <c r="R13" s="30">
        <f t="shared" si="2"/>
        <v>0</v>
      </c>
      <c r="S13" s="30">
        <f t="shared" si="2"/>
        <v>0</v>
      </c>
      <c r="T13" s="30">
        <f t="shared" si="2"/>
        <v>0</v>
      </c>
      <c r="U13" s="30">
        <f t="shared" si="2"/>
        <v>0</v>
      </c>
      <c r="V13" s="30">
        <f t="shared" si="2"/>
        <v>0</v>
      </c>
      <c r="W13" s="30">
        <f t="shared" si="2"/>
        <v>0</v>
      </c>
      <c r="X13" s="30"/>
      <c r="Y13" s="30">
        <f>SUM(Y4-Y7-Y8-Y9)</f>
        <v>0</v>
      </c>
      <c r="Z13" s="30">
        <f t="shared" ref="Z13:AJ13" si="3">SUM(Z4-Z7-Z8-Z9)</f>
        <v>0</v>
      </c>
      <c r="AA13" s="30">
        <f t="shared" si="3"/>
        <v>0</v>
      </c>
      <c r="AB13" s="30">
        <f t="shared" si="3"/>
        <v>0</v>
      </c>
      <c r="AC13" s="30">
        <f t="shared" si="3"/>
        <v>0</v>
      </c>
      <c r="AD13" s="30">
        <f t="shared" si="3"/>
        <v>0</v>
      </c>
      <c r="AE13" s="30">
        <f t="shared" si="3"/>
        <v>0</v>
      </c>
      <c r="AF13" s="30">
        <f t="shared" si="3"/>
        <v>-45568</v>
      </c>
      <c r="AG13" s="30">
        <f t="shared" si="3"/>
        <v>0</v>
      </c>
      <c r="AH13" s="30">
        <f t="shared" si="3"/>
        <v>0</v>
      </c>
      <c r="AI13" s="30">
        <f t="shared" si="3"/>
        <v>0</v>
      </c>
      <c r="AJ13" s="30">
        <f t="shared" si="3"/>
        <v>0</v>
      </c>
    </row>
    <row r="14" spans="1:36">
      <c r="A14" s="26" t="s">
        <v>13</v>
      </c>
      <c r="B14" s="34" t="s">
        <v>2</v>
      </c>
      <c r="C14" s="16"/>
      <c r="D14" s="17"/>
      <c r="E14" s="17"/>
      <c r="F14" s="17"/>
      <c r="G14" s="16"/>
      <c r="H14" s="16"/>
      <c r="I14" s="16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</sheetData>
  <phoneticPr fontId="2"/>
  <pageMargins left="0.7" right="0.7" top="0.75" bottom="0.75" header="0.3" footer="0.3"/>
  <pageSetup paperSize="9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C563-B79E-462D-B9A9-A301F43CD791}">
  <dimension ref="A1:AJ14"/>
  <sheetViews>
    <sheetView tabSelected="1" zoomScale="85" zoomScaleNormal="85" workbookViewId="0">
      <pane xSplit="3" ySplit="2" topLeftCell="W3" activePane="bottomRight" state="frozen"/>
      <selection pane="topRight" activeCell="D1" sqref="D1"/>
      <selection pane="bottomLeft" activeCell="A3" sqref="A3"/>
      <selection pane="bottomRight" activeCell="A5" sqref="A1:AJ14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09765625" bestFit="1" customWidth="1"/>
    <col min="27" max="29" width="11.19921875" bestFit="1" customWidth="1"/>
    <col min="30" max="36" width="10.0976562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5" t="s">
        <v>48</v>
      </c>
      <c r="B2" s="34"/>
      <c r="C2" s="31">
        <v>45740</v>
      </c>
      <c r="D2" s="13"/>
      <c r="E2" s="13"/>
      <c r="F2" s="13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>
      <c r="A3" s="26" t="s">
        <v>1</v>
      </c>
      <c r="B3" s="34" t="s">
        <v>2</v>
      </c>
      <c r="C3" s="12">
        <v>160000000</v>
      </c>
      <c r="D3" s="13"/>
      <c r="E3" s="13"/>
      <c r="F3" s="13"/>
      <c r="G3" s="12"/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>
      <c r="A4" s="26" t="s">
        <v>15</v>
      </c>
      <c r="B4" s="34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/>
      <c r="AG4" s="12"/>
      <c r="AH4" s="12"/>
      <c r="AI4" s="12"/>
      <c r="AJ4" s="12"/>
    </row>
    <row r="5" spans="1:36">
      <c r="A5" s="26" t="s">
        <v>4</v>
      </c>
      <c r="B5" s="34" t="s">
        <v>2</v>
      </c>
      <c r="C5" s="12"/>
      <c r="D5" s="13"/>
      <c r="E5" s="13"/>
      <c r="F5" s="13"/>
      <c r="G5" s="13"/>
      <c r="H5" s="13"/>
      <c r="I5" s="13"/>
      <c r="J5" s="1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>
        <v>163442</v>
      </c>
      <c r="Z5" s="13">
        <v>163442</v>
      </c>
      <c r="AA5" s="13">
        <v>163442</v>
      </c>
      <c r="AB5" s="13">
        <v>163442</v>
      </c>
      <c r="AC5" s="13">
        <v>163442</v>
      </c>
      <c r="AD5" s="13">
        <v>163444</v>
      </c>
      <c r="AE5" s="13">
        <v>163442</v>
      </c>
      <c r="AF5" s="13">
        <v>163442</v>
      </c>
      <c r="AG5" s="13">
        <v>163442</v>
      </c>
      <c r="AH5" s="13">
        <v>163442</v>
      </c>
      <c r="AI5" s="13">
        <v>163442</v>
      </c>
      <c r="AJ5" s="13">
        <v>163444</v>
      </c>
    </row>
    <row r="6" spans="1:36">
      <c r="A6" s="26" t="s">
        <v>5</v>
      </c>
      <c r="B6" s="34" t="s">
        <v>2</v>
      </c>
      <c r="C6" s="12">
        <v>63268032</v>
      </c>
      <c r="D6" s="12"/>
      <c r="E6" s="12"/>
      <c r="F6" s="12"/>
      <c r="G6" s="12"/>
      <c r="H6" s="12"/>
      <c r="I6" s="12"/>
      <c r="J6" s="12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>
        <v>62450821</v>
      </c>
      <c r="X6" s="13"/>
      <c r="Y6" s="12">
        <f>W6-Y5</f>
        <v>62287379</v>
      </c>
      <c r="Z6" s="12">
        <f>Y6-Z5</f>
        <v>62123937</v>
      </c>
      <c r="AA6" s="12">
        <f t="shared" ref="AA6:AJ6" si="0">Z6-AA5</f>
        <v>61960495</v>
      </c>
      <c r="AB6" s="12">
        <f t="shared" si="0"/>
        <v>61797053</v>
      </c>
      <c r="AC6" s="12">
        <f t="shared" si="0"/>
        <v>61633611</v>
      </c>
      <c r="AD6" s="12">
        <f t="shared" si="0"/>
        <v>61470167</v>
      </c>
      <c r="AE6" s="12">
        <f t="shared" si="0"/>
        <v>61306725</v>
      </c>
      <c r="AF6" s="12">
        <f t="shared" si="0"/>
        <v>61143283</v>
      </c>
      <c r="AG6" s="12">
        <f t="shared" si="0"/>
        <v>60979841</v>
      </c>
      <c r="AH6" s="12">
        <f t="shared" si="0"/>
        <v>60816399</v>
      </c>
      <c r="AI6" s="12">
        <f t="shared" si="0"/>
        <v>60652957</v>
      </c>
      <c r="AJ6" s="12">
        <f t="shared" si="0"/>
        <v>60489513</v>
      </c>
    </row>
    <row r="7" spans="1:36">
      <c r="A7" s="26" t="s">
        <v>33</v>
      </c>
      <c r="B7" s="34" t="s">
        <v>2</v>
      </c>
      <c r="C7" s="12">
        <v>74830</v>
      </c>
      <c r="D7" s="13"/>
      <c r="E7" s="13"/>
      <c r="F7" s="13"/>
      <c r="G7" s="12"/>
      <c r="H7" s="12"/>
      <c r="I7" s="12"/>
      <c r="J7" s="12"/>
      <c r="K7" s="13"/>
      <c r="L7" s="12"/>
      <c r="M7" s="12"/>
      <c r="N7" s="12"/>
      <c r="O7" s="12"/>
      <c r="P7" s="12"/>
      <c r="Q7" s="12"/>
      <c r="R7" s="12"/>
      <c r="S7" s="12">
        <v>168971</v>
      </c>
      <c r="T7" s="12"/>
      <c r="U7" s="12"/>
      <c r="V7" s="12">
        <v>74830</v>
      </c>
      <c r="W7" s="12">
        <v>74830</v>
      </c>
      <c r="X7" s="13"/>
      <c r="Y7" s="12">
        <v>77210</v>
      </c>
      <c r="Z7" s="12">
        <v>77210</v>
      </c>
      <c r="AA7" s="12">
        <v>77210</v>
      </c>
      <c r="AB7" s="12">
        <v>77210</v>
      </c>
      <c r="AC7" s="12">
        <v>77210</v>
      </c>
      <c r="AD7" s="12">
        <v>77210</v>
      </c>
      <c r="AE7" s="12">
        <v>77210</v>
      </c>
      <c r="AF7" s="12">
        <v>77210</v>
      </c>
      <c r="AG7" s="12">
        <v>77210</v>
      </c>
      <c r="AH7" s="12">
        <v>77210</v>
      </c>
      <c r="AI7" s="12">
        <v>77210</v>
      </c>
      <c r="AJ7" s="12">
        <v>77210</v>
      </c>
    </row>
    <row r="8" spans="1:36">
      <c r="A8" s="26" t="s">
        <v>7</v>
      </c>
      <c r="B8" s="34" t="s">
        <v>2</v>
      </c>
      <c r="C8" s="12"/>
      <c r="D8" s="13"/>
      <c r="E8" s="13"/>
      <c r="F8" s="13"/>
      <c r="G8" s="12"/>
      <c r="H8" s="12"/>
      <c r="I8" s="12"/>
      <c r="J8" s="12"/>
      <c r="K8" s="13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3"/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/>
      <c r="AG8" s="12"/>
      <c r="AH8" s="12"/>
      <c r="AI8" s="12"/>
      <c r="AJ8" s="12"/>
    </row>
    <row r="9" spans="1:36">
      <c r="A9" s="26" t="s">
        <v>8</v>
      </c>
      <c r="B9" s="34" t="s">
        <v>2</v>
      </c>
      <c r="C9" s="12">
        <v>5472474</v>
      </c>
      <c r="D9" s="13"/>
      <c r="E9" s="13"/>
      <c r="F9" s="13"/>
      <c r="G9" s="12"/>
      <c r="H9" s="12"/>
      <c r="I9" s="12"/>
      <c r="J9" s="12"/>
      <c r="K9" s="13"/>
      <c r="L9" s="13"/>
      <c r="M9" s="13"/>
      <c r="N9" s="13"/>
      <c r="O9" s="13"/>
      <c r="P9" s="13"/>
      <c r="Q9" s="13"/>
      <c r="R9" s="13"/>
      <c r="S9" s="13">
        <v>182312</v>
      </c>
      <c r="T9" s="13">
        <v>3096</v>
      </c>
      <c r="U9" s="12">
        <v>1124</v>
      </c>
      <c r="V9" s="13">
        <v>5479</v>
      </c>
      <c r="W9" s="13">
        <v>4657</v>
      </c>
      <c r="X9" s="13"/>
      <c r="Y9" s="13">
        <v>5337</v>
      </c>
      <c r="Z9" s="13">
        <v>3710</v>
      </c>
      <c r="AA9" s="13">
        <v>5109</v>
      </c>
      <c r="AB9" s="13">
        <v>4669</v>
      </c>
      <c r="AC9" s="13">
        <v>8497</v>
      </c>
      <c r="AD9" s="13">
        <v>4281</v>
      </c>
      <c r="AE9" s="13">
        <v>7517</v>
      </c>
      <c r="AF9" s="13">
        <v>3711</v>
      </c>
      <c r="AG9" s="13">
        <v>8047</v>
      </c>
      <c r="AH9" s="12"/>
      <c r="AI9" s="13"/>
      <c r="AJ9" s="13"/>
    </row>
    <row r="10" spans="1:36">
      <c r="A10" s="26" t="s">
        <v>9</v>
      </c>
      <c r="B10" s="34" t="s">
        <v>2</v>
      </c>
      <c r="C10" s="14"/>
      <c r="D10" s="15"/>
      <c r="E10" s="15"/>
      <c r="F10" s="15"/>
      <c r="G10" s="14"/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>
      <c r="A11" s="26" t="s">
        <v>10</v>
      </c>
      <c r="B11" s="34" t="s">
        <v>2</v>
      </c>
      <c r="C11" s="16"/>
      <c r="D11" s="17"/>
      <c r="E11" s="17"/>
      <c r="F11" s="17"/>
      <c r="G11" s="16"/>
      <c r="H11" s="16"/>
      <c r="I11" s="16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spans="1:36">
      <c r="A12" s="26" t="s">
        <v>11</v>
      </c>
      <c r="B12" s="34" t="s">
        <v>2</v>
      </c>
      <c r="C12" s="16"/>
      <c r="D12" s="17"/>
      <c r="E12" s="17"/>
      <c r="F12" s="17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 spans="1:36">
      <c r="A13" s="26" t="s">
        <v>12</v>
      </c>
      <c r="B13" s="34" t="s">
        <v>2</v>
      </c>
      <c r="C13" s="16"/>
      <c r="D13" s="30">
        <f>SUM(D4-D7-D8-D9)</f>
        <v>0</v>
      </c>
      <c r="E13" s="30">
        <f t="shared" ref="E13:J13" si="1">SUM(E4-E7-E8-E9)</f>
        <v>0</v>
      </c>
      <c r="F13" s="30">
        <f t="shared" si="1"/>
        <v>0</v>
      </c>
      <c r="G13" s="30">
        <f t="shared" si="1"/>
        <v>0</v>
      </c>
      <c r="H13" s="30">
        <f t="shared" si="1"/>
        <v>0</v>
      </c>
      <c r="I13" s="30">
        <f t="shared" si="1"/>
        <v>0</v>
      </c>
      <c r="J13" s="30">
        <f t="shared" si="1"/>
        <v>0</v>
      </c>
      <c r="K13" s="30"/>
      <c r="L13" s="30">
        <f>SUM(L4-L7-L8-L9)</f>
        <v>0</v>
      </c>
      <c r="M13" s="30">
        <f t="shared" ref="M13:W13" si="2">SUM(M4-M7-M8-M9)</f>
        <v>0</v>
      </c>
      <c r="N13" s="30">
        <f t="shared" si="2"/>
        <v>0</v>
      </c>
      <c r="O13" s="30">
        <f t="shared" si="2"/>
        <v>0</v>
      </c>
      <c r="P13" s="30">
        <f t="shared" si="2"/>
        <v>0</v>
      </c>
      <c r="Q13" s="30">
        <f t="shared" si="2"/>
        <v>0</v>
      </c>
      <c r="R13" s="30">
        <f t="shared" si="2"/>
        <v>0</v>
      </c>
      <c r="S13" s="30">
        <f t="shared" si="2"/>
        <v>-351283</v>
      </c>
      <c r="T13" s="30">
        <f t="shared" si="2"/>
        <v>-3096</v>
      </c>
      <c r="U13" s="30">
        <f t="shared" si="2"/>
        <v>-1124</v>
      </c>
      <c r="V13" s="30">
        <f t="shared" si="2"/>
        <v>-80309</v>
      </c>
      <c r="W13" s="30">
        <f t="shared" si="2"/>
        <v>-79487</v>
      </c>
      <c r="X13" s="30"/>
      <c r="Y13" s="30">
        <f>SUM(Y4-Y7-Y8-Y9)</f>
        <v>-82547</v>
      </c>
      <c r="Z13" s="30">
        <f t="shared" ref="Z13:AJ13" si="3">SUM(Z4-Z7-Z8-Z9)</f>
        <v>-80920</v>
      </c>
      <c r="AA13" s="30">
        <f t="shared" si="3"/>
        <v>-82319</v>
      </c>
      <c r="AB13" s="30">
        <f t="shared" si="3"/>
        <v>-81879</v>
      </c>
      <c r="AC13" s="30">
        <f t="shared" si="3"/>
        <v>-85707</v>
      </c>
      <c r="AD13" s="30">
        <f t="shared" si="3"/>
        <v>-81491</v>
      </c>
      <c r="AE13" s="30">
        <f t="shared" si="3"/>
        <v>-84727</v>
      </c>
      <c r="AF13" s="30">
        <f t="shared" si="3"/>
        <v>-80921</v>
      </c>
      <c r="AG13" s="30">
        <f t="shared" si="3"/>
        <v>-85257</v>
      </c>
      <c r="AH13" s="30">
        <f t="shared" si="3"/>
        <v>-77210</v>
      </c>
      <c r="AI13" s="30">
        <f t="shared" si="3"/>
        <v>-77210</v>
      </c>
      <c r="AJ13" s="30">
        <f t="shared" si="3"/>
        <v>-77210</v>
      </c>
    </row>
    <row r="14" spans="1:36">
      <c r="A14" s="26" t="s">
        <v>13</v>
      </c>
      <c r="B14" s="34" t="s">
        <v>2</v>
      </c>
      <c r="C14" s="16"/>
      <c r="D14" s="17"/>
      <c r="E14" s="17"/>
      <c r="F14" s="17"/>
      <c r="G14" s="16"/>
      <c r="H14" s="16"/>
      <c r="I14" s="16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</sheetData>
  <phoneticPr fontId="2"/>
  <pageMargins left="0.7" right="0.7" top="0.75" bottom="0.75" header="0.3" footer="0.3"/>
  <pageSetup paperSize="9" orientation="portrait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C4A4-6CFF-4FED-A7BD-427AB13F9481}">
  <dimension ref="A1:AJ14"/>
  <sheetViews>
    <sheetView zoomScale="85" zoomScaleNormal="85" workbookViewId="0">
      <pane xSplit="3" ySplit="2" topLeftCell="W3" activePane="bottomRight" state="frozen"/>
      <selection pane="topRight" activeCell="D1" sqref="D1"/>
      <selection pane="bottomLeft" activeCell="A3" sqref="A3"/>
      <selection pane="bottomRight" activeCell="AG16" sqref="AG16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09765625" bestFit="1" customWidth="1"/>
    <col min="27" max="29" width="11.19921875" bestFit="1" customWidth="1"/>
    <col min="30" max="36" width="10.0976562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5" t="s">
        <v>49</v>
      </c>
      <c r="B2" s="34"/>
      <c r="C2" s="31">
        <v>45930</v>
      </c>
      <c r="D2" s="13"/>
      <c r="E2" s="13"/>
      <c r="F2" s="13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>
      <c r="A3" s="26" t="s">
        <v>1</v>
      </c>
      <c r="B3" s="34" t="s">
        <v>2</v>
      </c>
      <c r="C3" s="12">
        <v>1250000000</v>
      </c>
      <c r="D3" s="13"/>
      <c r="E3" s="13"/>
      <c r="F3" s="13"/>
      <c r="G3" s="12"/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>
      <c r="A4" s="26" t="s">
        <v>15</v>
      </c>
      <c r="B4" s="34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/>
      <c r="AG4" s="12"/>
      <c r="AH4" s="12"/>
      <c r="AI4" s="12"/>
      <c r="AJ4" s="12"/>
    </row>
    <row r="5" spans="1:36">
      <c r="A5" s="26" t="s">
        <v>4</v>
      </c>
      <c r="B5" s="34" t="s">
        <v>2</v>
      </c>
      <c r="C5" s="12"/>
      <c r="D5" s="13"/>
      <c r="E5" s="13"/>
      <c r="F5" s="13"/>
      <c r="G5" s="13"/>
      <c r="H5" s="13"/>
      <c r="I5" s="13"/>
      <c r="J5" s="1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>
        <v>0</v>
      </c>
      <c r="Z5" s="13">
        <v>880693</v>
      </c>
      <c r="AA5" s="13">
        <v>880693</v>
      </c>
      <c r="AB5" s="13">
        <v>880693</v>
      </c>
      <c r="AC5" s="13">
        <v>880693</v>
      </c>
      <c r="AD5" s="13">
        <v>880696</v>
      </c>
      <c r="AE5" s="13">
        <v>880693</v>
      </c>
      <c r="AF5" s="13">
        <v>880693</v>
      </c>
      <c r="AG5" s="13">
        <v>880693</v>
      </c>
      <c r="AH5" s="13">
        <v>880693</v>
      </c>
      <c r="AI5" s="13">
        <v>880693</v>
      </c>
      <c r="AJ5" s="13">
        <v>880697</v>
      </c>
    </row>
    <row r="6" spans="1:36">
      <c r="A6" s="26" t="s">
        <v>5</v>
      </c>
      <c r="B6" s="34" t="s">
        <v>2</v>
      </c>
      <c r="C6" s="12">
        <v>406474003</v>
      </c>
      <c r="D6" s="12"/>
      <c r="E6" s="12"/>
      <c r="F6" s="12"/>
      <c r="G6" s="12"/>
      <c r="H6" s="12"/>
      <c r="I6" s="12"/>
      <c r="J6" s="12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3"/>
      <c r="Y6" s="12">
        <f>C6-Y5</f>
        <v>406474003</v>
      </c>
      <c r="Z6" s="12">
        <f>Y6-Z5</f>
        <v>405593310</v>
      </c>
      <c r="AA6" s="12">
        <f t="shared" ref="AA6:AJ6" si="0">Z6-AA5</f>
        <v>404712617</v>
      </c>
      <c r="AB6" s="12">
        <f t="shared" si="0"/>
        <v>403831924</v>
      </c>
      <c r="AC6" s="12">
        <f t="shared" si="0"/>
        <v>402951231</v>
      </c>
      <c r="AD6" s="12">
        <f t="shared" si="0"/>
        <v>402070535</v>
      </c>
      <c r="AE6" s="12">
        <f t="shared" si="0"/>
        <v>401189842</v>
      </c>
      <c r="AF6" s="12">
        <f t="shared" si="0"/>
        <v>400309149</v>
      </c>
      <c r="AG6" s="12">
        <f t="shared" si="0"/>
        <v>399428456</v>
      </c>
      <c r="AH6" s="12">
        <f t="shared" si="0"/>
        <v>398547763</v>
      </c>
      <c r="AI6" s="12">
        <f t="shared" si="0"/>
        <v>397667070</v>
      </c>
      <c r="AJ6" s="12">
        <f t="shared" si="0"/>
        <v>396786373</v>
      </c>
    </row>
    <row r="7" spans="1:36">
      <c r="A7" s="26" t="s">
        <v>33</v>
      </c>
      <c r="B7" s="34" t="s">
        <v>2</v>
      </c>
      <c r="C7" s="12"/>
      <c r="D7" s="13"/>
      <c r="E7" s="13"/>
      <c r="F7" s="13"/>
      <c r="G7" s="12"/>
      <c r="H7" s="12"/>
      <c r="I7" s="12"/>
      <c r="J7" s="12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3"/>
      <c r="Y7" s="12"/>
      <c r="Z7" s="12"/>
      <c r="AA7" s="12"/>
      <c r="AB7" s="12"/>
      <c r="AC7" s="12">
        <v>338400</v>
      </c>
      <c r="AD7" s="12">
        <v>338400</v>
      </c>
      <c r="AE7" s="12"/>
      <c r="AF7" s="12"/>
      <c r="AG7" s="12"/>
      <c r="AH7" s="12"/>
      <c r="AI7" s="12"/>
      <c r="AJ7" s="12"/>
    </row>
    <row r="8" spans="1:36">
      <c r="A8" s="26" t="s">
        <v>7</v>
      </c>
      <c r="B8" s="34" t="s">
        <v>2</v>
      </c>
      <c r="C8" s="12"/>
      <c r="D8" s="13"/>
      <c r="E8" s="13"/>
      <c r="F8" s="13"/>
      <c r="G8" s="12"/>
      <c r="H8" s="12"/>
      <c r="I8" s="12"/>
      <c r="J8" s="12"/>
      <c r="K8" s="13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3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>
      <c r="A9" s="26" t="s">
        <v>8</v>
      </c>
      <c r="B9" s="34" t="s">
        <v>2</v>
      </c>
      <c r="C9" s="12"/>
      <c r="D9" s="13"/>
      <c r="E9" s="13"/>
      <c r="F9" s="13"/>
      <c r="G9" s="12"/>
      <c r="H9" s="12"/>
      <c r="I9" s="12"/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2"/>
      <c r="V9" s="13"/>
      <c r="W9" s="13"/>
      <c r="X9" s="13"/>
      <c r="Y9" s="13"/>
      <c r="Z9" s="13"/>
      <c r="AA9" s="13">
        <v>6787</v>
      </c>
      <c r="AB9" s="13">
        <v>7925</v>
      </c>
      <c r="AC9" s="13">
        <v>7898</v>
      </c>
      <c r="AD9" s="13">
        <v>8028</v>
      </c>
      <c r="AE9" s="13">
        <v>7934</v>
      </c>
      <c r="AF9" s="13">
        <v>3186100</v>
      </c>
      <c r="AG9" s="13">
        <v>7953</v>
      </c>
      <c r="AH9" s="12"/>
      <c r="AI9" s="13"/>
      <c r="AJ9" s="13"/>
    </row>
    <row r="10" spans="1:36">
      <c r="A10" s="26" t="s">
        <v>9</v>
      </c>
      <c r="B10" s="34" t="s">
        <v>2</v>
      </c>
      <c r="C10" s="14"/>
      <c r="D10" s="15"/>
      <c r="E10" s="15"/>
      <c r="F10" s="15"/>
      <c r="G10" s="14"/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>
      <c r="A11" s="26" t="s">
        <v>10</v>
      </c>
      <c r="B11" s="34" t="s">
        <v>2</v>
      </c>
      <c r="C11" s="16"/>
      <c r="D11" s="17"/>
      <c r="E11" s="17"/>
      <c r="F11" s="17"/>
      <c r="G11" s="16"/>
      <c r="H11" s="16"/>
      <c r="I11" s="16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spans="1:36">
      <c r="A12" s="26" t="s">
        <v>11</v>
      </c>
      <c r="B12" s="34" t="s">
        <v>2</v>
      </c>
      <c r="C12" s="16"/>
      <c r="D12" s="17"/>
      <c r="E12" s="17"/>
      <c r="F12" s="17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 spans="1:36">
      <c r="A13" s="26" t="s">
        <v>12</v>
      </c>
      <c r="B13" s="34" t="s">
        <v>2</v>
      </c>
      <c r="C13" s="16"/>
      <c r="D13" s="30">
        <f>SUM(D4-D7-D8-D9)</f>
        <v>0</v>
      </c>
      <c r="E13" s="30">
        <f t="shared" ref="E13:J13" si="1">SUM(E4-E7-E8-E9)</f>
        <v>0</v>
      </c>
      <c r="F13" s="30">
        <f t="shared" si="1"/>
        <v>0</v>
      </c>
      <c r="G13" s="30">
        <f t="shared" si="1"/>
        <v>0</v>
      </c>
      <c r="H13" s="30">
        <f t="shared" si="1"/>
        <v>0</v>
      </c>
      <c r="I13" s="30">
        <f t="shared" si="1"/>
        <v>0</v>
      </c>
      <c r="J13" s="30">
        <f t="shared" si="1"/>
        <v>0</v>
      </c>
      <c r="K13" s="30"/>
      <c r="L13" s="30">
        <f>SUM(L4-L7-L8-L9)</f>
        <v>0</v>
      </c>
      <c r="M13" s="30">
        <f t="shared" ref="M13:W13" si="2">SUM(M4-M7-M8-M9)</f>
        <v>0</v>
      </c>
      <c r="N13" s="30">
        <f t="shared" si="2"/>
        <v>0</v>
      </c>
      <c r="O13" s="30">
        <f t="shared" si="2"/>
        <v>0</v>
      </c>
      <c r="P13" s="30">
        <f t="shared" si="2"/>
        <v>0</v>
      </c>
      <c r="Q13" s="30">
        <f t="shared" si="2"/>
        <v>0</v>
      </c>
      <c r="R13" s="30">
        <f t="shared" si="2"/>
        <v>0</v>
      </c>
      <c r="S13" s="30">
        <f t="shared" si="2"/>
        <v>0</v>
      </c>
      <c r="T13" s="30">
        <f t="shared" si="2"/>
        <v>0</v>
      </c>
      <c r="U13" s="30">
        <f t="shared" si="2"/>
        <v>0</v>
      </c>
      <c r="V13" s="30">
        <f t="shared" si="2"/>
        <v>0</v>
      </c>
      <c r="W13" s="30">
        <f t="shared" si="2"/>
        <v>0</v>
      </c>
      <c r="X13" s="30"/>
      <c r="Y13" s="30">
        <f>SUM(Y4-Y7-Y8-Y9)</f>
        <v>0</v>
      </c>
      <c r="Z13" s="30">
        <f t="shared" ref="Z13:AJ13" si="3">SUM(Z4-Z7-Z8-Z9)</f>
        <v>0</v>
      </c>
      <c r="AA13" s="30">
        <f t="shared" si="3"/>
        <v>-6787</v>
      </c>
      <c r="AB13" s="30">
        <f t="shared" si="3"/>
        <v>-7925</v>
      </c>
      <c r="AC13" s="30">
        <f t="shared" si="3"/>
        <v>-346298</v>
      </c>
      <c r="AD13" s="30">
        <f t="shared" si="3"/>
        <v>-346428</v>
      </c>
      <c r="AE13" s="30">
        <f t="shared" si="3"/>
        <v>-7934</v>
      </c>
      <c r="AF13" s="30">
        <f t="shared" si="3"/>
        <v>-3186100</v>
      </c>
      <c r="AG13" s="30">
        <f t="shared" si="3"/>
        <v>-7953</v>
      </c>
      <c r="AH13" s="30">
        <f t="shared" si="3"/>
        <v>0</v>
      </c>
      <c r="AI13" s="30">
        <f t="shared" si="3"/>
        <v>0</v>
      </c>
      <c r="AJ13" s="30">
        <f t="shared" si="3"/>
        <v>0</v>
      </c>
    </row>
    <row r="14" spans="1:36">
      <c r="A14" s="26" t="s">
        <v>13</v>
      </c>
      <c r="B14" s="34" t="s">
        <v>2</v>
      </c>
      <c r="C14" s="16"/>
      <c r="D14" s="17"/>
      <c r="E14" s="17"/>
      <c r="F14" s="17"/>
      <c r="G14" s="16"/>
      <c r="H14" s="16"/>
      <c r="I14" s="16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</sheetData>
  <phoneticPr fontId="2"/>
  <pageMargins left="0.7" right="0.7" top="0.75" bottom="0.75" header="0.3" footer="0.3"/>
  <pageSetup paperSize="9"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5987-953B-4678-B034-A420B7F62DAB}">
  <dimension ref="A1:AJ16"/>
  <sheetViews>
    <sheetView zoomScale="85" zoomScaleNormal="85" workbookViewId="0">
      <pane xSplit="3" ySplit="2" topLeftCell="S3" activePane="bottomRight" state="frozen"/>
      <selection pane="topRight" activeCell="D1" sqref="D1"/>
      <selection pane="bottomLeft" activeCell="A3" sqref="A3"/>
      <selection pane="bottomRight" activeCell="AG8" sqref="AG8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39" t="s">
        <v>50</v>
      </c>
      <c r="B2" s="40"/>
      <c r="C2" s="41">
        <v>45387</v>
      </c>
      <c r="D2" s="42"/>
      <c r="E2" s="42"/>
      <c r="F2" s="42"/>
      <c r="G2" s="43"/>
      <c r="H2" s="43"/>
      <c r="I2" s="43"/>
      <c r="J2" s="43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spans="1:36">
      <c r="A3" s="44" t="s">
        <v>1</v>
      </c>
      <c r="B3" s="40" t="s">
        <v>2</v>
      </c>
      <c r="C3" s="43">
        <v>54580000</v>
      </c>
      <c r="D3" s="42"/>
      <c r="E3" s="42"/>
      <c r="F3" s="42"/>
      <c r="G3" s="43"/>
      <c r="H3" s="43"/>
      <c r="I3" s="43"/>
      <c r="J3" s="43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</row>
    <row r="4" spans="1:36">
      <c r="A4" s="44" t="s">
        <v>15</v>
      </c>
      <c r="B4" s="40" t="s">
        <v>2</v>
      </c>
      <c r="C4" s="43">
        <v>221000</v>
      </c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/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0</v>
      </c>
      <c r="R4" s="43">
        <v>449700</v>
      </c>
      <c r="S4" s="43">
        <v>229900</v>
      </c>
      <c r="T4" s="43">
        <v>229900</v>
      </c>
      <c r="U4" s="43">
        <v>229900</v>
      </c>
      <c r="V4" s="43">
        <v>229900</v>
      </c>
      <c r="W4" s="43">
        <v>229900</v>
      </c>
      <c r="X4" s="43"/>
      <c r="Y4" s="43">
        <v>229900</v>
      </c>
      <c r="Z4" s="43">
        <v>229900</v>
      </c>
      <c r="AA4" s="43">
        <v>229900</v>
      </c>
      <c r="AB4" s="43">
        <v>229900</v>
      </c>
      <c r="AC4" s="43">
        <v>229900</v>
      </c>
      <c r="AD4" s="43">
        <v>229900</v>
      </c>
      <c r="AE4" s="43">
        <v>229900</v>
      </c>
      <c r="AF4" s="43">
        <v>229900</v>
      </c>
      <c r="AG4" s="43">
        <v>229900</v>
      </c>
      <c r="AH4" s="43"/>
      <c r="AI4" s="43"/>
      <c r="AJ4" s="43"/>
    </row>
    <row r="5" spans="1:36">
      <c r="A5" s="44" t="s">
        <v>4</v>
      </c>
      <c r="B5" s="40" t="s">
        <v>2</v>
      </c>
      <c r="C5" s="43"/>
      <c r="D5" s="43"/>
      <c r="E5" s="43"/>
      <c r="F5" s="43"/>
      <c r="G5" s="43">
        <v>38896</v>
      </c>
      <c r="H5" s="43">
        <v>38896</v>
      </c>
      <c r="I5" s="43">
        <v>38896</v>
      </c>
      <c r="J5" s="43">
        <v>38899</v>
      </c>
      <c r="K5" s="42"/>
      <c r="L5" s="43">
        <v>38896</v>
      </c>
      <c r="M5" s="43">
        <v>38896</v>
      </c>
      <c r="N5" s="43">
        <v>38896</v>
      </c>
      <c r="O5" s="43">
        <v>38896</v>
      </c>
      <c r="P5" s="43">
        <v>38896</v>
      </c>
      <c r="Q5" s="43">
        <v>38901</v>
      </c>
      <c r="R5" s="43">
        <v>38896</v>
      </c>
      <c r="S5" s="43">
        <v>38896</v>
      </c>
      <c r="T5" s="43">
        <v>38896</v>
      </c>
      <c r="U5" s="43">
        <v>38896</v>
      </c>
      <c r="V5" s="43">
        <v>38896</v>
      </c>
      <c r="W5" s="43">
        <v>38902</v>
      </c>
      <c r="X5" s="42"/>
      <c r="Y5" s="43">
        <v>38896</v>
      </c>
      <c r="Z5" s="43">
        <v>38896</v>
      </c>
      <c r="AA5" s="43">
        <v>38896</v>
      </c>
      <c r="AB5" s="43">
        <v>38896</v>
      </c>
      <c r="AC5" s="43">
        <v>38896</v>
      </c>
      <c r="AD5" s="43">
        <v>38901</v>
      </c>
      <c r="AE5" s="43">
        <v>38896</v>
      </c>
      <c r="AF5" s="43">
        <v>38896</v>
      </c>
      <c r="AG5" s="43">
        <v>38896</v>
      </c>
      <c r="AH5" s="43">
        <v>38896</v>
      </c>
      <c r="AI5" s="43">
        <v>38896</v>
      </c>
      <c r="AJ5" s="43">
        <v>38902</v>
      </c>
    </row>
    <row r="6" spans="1:36">
      <c r="A6" s="44" t="s">
        <v>5</v>
      </c>
      <c r="B6" s="40" t="s">
        <v>2</v>
      </c>
      <c r="C6" s="43">
        <v>21216534</v>
      </c>
      <c r="D6" s="43"/>
      <c r="E6" s="43"/>
      <c r="F6" s="43"/>
      <c r="G6" s="43">
        <f>SUM(C6-G5)</f>
        <v>21177638</v>
      </c>
      <c r="H6" s="43">
        <f t="shared" ref="H6:J6" si="0">SUM(G6-H5)</f>
        <v>21138742</v>
      </c>
      <c r="I6" s="43">
        <f t="shared" si="0"/>
        <v>21099846</v>
      </c>
      <c r="J6" s="43">
        <f t="shared" si="0"/>
        <v>21060947</v>
      </c>
      <c r="K6" s="42"/>
      <c r="L6" s="43">
        <f>SUM(J6-L5)</f>
        <v>21022051</v>
      </c>
      <c r="M6" s="43">
        <f t="shared" ref="M6:W6" si="1">SUM(L6-M5)</f>
        <v>20983155</v>
      </c>
      <c r="N6" s="43">
        <f t="shared" si="1"/>
        <v>20944259</v>
      </c>
      <c r="O6" s="43">
        <f t="shared" si="1"/>
        <v>20905363</v>
      </c>
      <c r="P6" s="43">
        <f t="shared" si="1"/>
        <v>20866467</v>
      </c>
      <c r="Q6" s="43">
        <f t="shared" si="1"/>
        <v>20827566</v>
      </c>
      <c r="R6" s="43">
        <f t="shared" si="1"/>
        <v>20788670</v>
      </c>
      <c r="S6" s="43">
        <f t="shared" si="1"/>
        <v>20749774</v>
      </c>
      <c r="T6" s="43">
        <f t="shared" si="1"/>
        <v>20710878</v>
      </c>
      <c r="U6" s="43">
        <f t="shared" si="1"/>
        <v>20671982</v>
      </c>
      <c r="V6" s="43">
        <f t="shared" si="1"/>
        <v>20633086</v>
      </c>
      <c r="W6" s="43">
        <f t="shared" si="1"/>
        <v>20594184</v>
      </c>
      <c r="X6" s="42"/>
      <c r="Y6" s="43">
        <f>SUM(W6-Y5)</f>
        <v>20555288</v>
      </c>
      <c r="Z6" s="43">
        <f t="shared" ref="Z6" si="2">SUM(Y6-Z5)</f>
        <v>20516392</v>
      </c>
      <c r="AA6" s="43">
        <f t="shared" ref="AA6" si="3">SUM(Z6-AA5)</f>
        <v>20477496</v>
      </c>
      <c r="AB6" s="43">
        <f t="shared" ref="AB6" si="4">SUM(AA6-AB5)</f>
        <v>20438600</v>
      </c>
      <c r="AC6" s="43">
        <f t="shared" ref="AC6" si="5">SUM(AB6-AC5)</f>
        <v>20399704</v>
      </c>
      <c r="AD6" s="43">
        <f t="shared" ref="AD6" si="6">SUM(AC6-AD5)</f>
        <v>20360803</v>
      </c>
      <c r="AE6" s="43">
        <f t="shared" ref="AE6" si="7">SUM(AD6-AE5)</f>
        <v>20321907</v>
      </c>
      <c r="AF6" s="43">
        <f t="shared" ref="AF6" si="8">SUM(AE6-AF5)</f>
        <v>20283011</v>
      </c>
      <c r="AG6" s="43">
        <f t="shared" ref="AG6" si="9">SUM(AF6-AG5)</f>
        <v>20244115</v>
      </c>
      <c r="AH6" s="43">
        <f t="shared" ref="AH6" si="10">SUM(AG6-AH5)</f>
        <v>20205219</v>
      </c>
      <c r="AI6" s="43">
        <f t="shared" ref="AI6" si="11">SUM(AH6-AI5)</f>
        <v>20166323</v>
      </c>
      <c r="AJ6" s="43">
        <f t="shared" ref="AJ6" si="12">SUM(AI6-AJ5)</f>
        <v>20127421</v>
      </c>
    </row>
    <row r="7" spans="1:36">
      <c r="A7" s="44" t="s">
        <v>16</v>
      </c>
      <c r="B7" s="40" t="s">
        <v>2</v>
      </c>
      <c r="C7" s="43">
        <v>30570</v>
      </c>
      <c r="D7" s="42"/>
      <c r="E7" s="42"/>
      <c r="F7" s="42"/>
      <c r="G7" s="43">
        <v>0</v>
      </c>
      <c r="H7" s="43">
        <v>30570</v>
      </c>
      <c r="I7" s="43">
        <v>30570</v>
      </c>
      <c r="J7" s="43">
        <v>30570</v>
      </c>
      <c r="K7" s="42"/>
      <c r="L7" s="43">
        <v>30570</v>
      </c>
      <c r="M7" s="43">
        <v>30570</v>
      </c>
      <c r="N7" s="43">
        <v>30570</v>
      </c>
      <c r="O7" s="43">
        <v>30570</v>
      </c>
      <c r="P7" s="43">
        <v>30570</v>
      </c>
      <c r="Q7" s="43">
        <v>30570</v>
      </c>
      <c r="R7" s="43">
        <v>30570</v>
      </c>
      <c r="S7" s="43">
        <v>30570</v>
      </c>
      <c r="T7" s="43">
        <v>30570</v>
      </c>
      <c r="U7" s="43">
        <v>30570</v>
      </c>
      <c r="V7" s="43">
        <v>30570</v>
      </c>
      <c r="W7" s="43">
        <v>30570</v>
      </c>
      <c r="X7" s="42"/>
      <c r="Y7" s="43">
        <v>30570</v>
      </c>
      <c r="Z7" s="43">
        <v>30570</v>
      </c>
      <c r="AA7" s="43">
        <v>30570</v>
      </c>
      <c r="AB7" s="43">
        <v>30570</v>
      </c>
      <c r="AC7" s="43">
        <v>30570</v>
      </c>
      <c r="AD7" s="43">
        <v>30570</v>
      </c>
      <c r="AE7" s="43">
        <v>30570</v>
      </c>
      <c r="AF7" s="43">
        <v>30570</v>
      </c>
      <c r="AG7" s="43">
        <v>30570</v>
      </c>
      <c r="AH7" s="43">
        <v>30570</v>
      </c>
      <c r="AI7" s="43">
        <v>30570</v>
      </c>
      <c r="AJ7" s="43">
        <v>30570</v>
      </c>
    </row>
    <row r="8" spans="1:36">
      <c r="A8" s="44" t="s">
        <v>7</v>
      </c>
      <c r="B8" s="40" t="s">
        <v>2</v>
      </c>
      <c r="C8" s="43"/>
      <c r="D8" s="42"/>
      <c r="E8" s="42"/>
      <c r="F8" s="42"/>
      <c r="G8" s="42">
        <v>0</v>
      </c>
      <c r="H8" s="42">
        <v>0</v>
      </c>
      <c r="I8" s="42">
        <v>0</v>
      </c>
      <c r="J8" s="42">
        <v>0</v>
      </c>
      <c r="K8" s="42"/>
      <c r="L8" s="43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5038</v>
      </c>
      <c r="S8" s="42">
        <v>5038</v>
      </c>
      <c r="T8" s="42">
        <v>5038</v>
      </c>
      <c r="U8" s="42">
        <v>5038</v>
      </c>
      <c r="V8" s="42">
        <v>5038</v>
      </c>
      <c r="W8" s="42">
        <v>5038</v>
      </c>
      <c r="X8" s="42"/>
      <c r="Y8" s="42">
        <v>5038</v>
      </c>
      <c r="Z8" s="43">
        <v>5038</v>
      </c>
      <c r="AA8" s="43">
        <v>5038</v>
      </c>
      <c r="AB8" s="43">
        <v>5038</v>
      </c>
      <c r="AC8" s="43">
        <v>5038</v>
      </c>
      <c r="AD8" s="43">
        <v>5038</v>
      </c>
      <c r="AE8" s="42">
        <v>5038</v>
      </c>
      <c r="AF8" s="42">
        <v>5038</v>
      </c>
      <c r="AG8" s="42">
        <v>5038</v>
      </c>
      <c r="AH8" s="42"/>
      <c r="AI8" s="42"/>
      <c r="AJ8" s="42"/>
    </row>
    <row r="9" spans="1:36">
      <c r="A9" s="44" t="s">
        <v>8</v>
      </c>
      <c r="B9" s="40" t="s">
        <v>2</v>
      </c>
      <c r="C9" s="43">
        <v>721000</v>
      </c>
      <c r="D9" s="42">
        <v>0</v>
      </c>
      <c r="E9" s="42">
        <v>0</v>
      </c>
      <c r="F9" s="42">
        <v>0</v>
      </c>
      <c r="G9" s="43">
        <v>216000</v>
      </c>
      <c r="H9" s="43">
        <v>162800</v>
      </c>
      <c r="I9" s="43">
        <v>0</v>
      </c>
      <c r="J9" s="43">
        <v>0</v>
      </c>
      <c r="K9" s="42"/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232100</v>
      </c>
      <c r="R9" s="42">
        <v>0</v>
      </c>
      <c r="S9" s="42">
        <v>0</v>
      </c>
      <c r="T9" s="42">
        <v>0</v>
      </c>
      <c r="U9" s="42">
        <v>89648</v>
      </c>
      <c r="V9" s="42">
        <v>0</v>
      </c>
      <c r="W9" s="42">
        <v>0</v>
      </c>
      <c r="X9" s="42"/>
      <c r="Y9" s="42">
        <v>0</v>
      </c>
      <c r="Z9" s="42">
        <v>0</v>
      </c>
      <c r="AA9" s="42"/>
      <c r="AB9" s="42"/>
      <c r="AC9" s="42"/>
      <c r="AD9" s="42"/>
      <c r="AE9" s="42"/>
      <c r="AF9" s="42"/>
      <c r="AG9" s="42"/>
      <c r="AH9" s="42"/>
      <c r="AI9" s="42"/>
      <c r="AJ9" s="42"/>
    </row>
    <row r="10" spans="1:36">
      <c r="A10" s="44" t="s">
        <v>9</v>
      </c>
      <c r="B10" s="40" t="s">
        <v>2</v>
      </c>
      <c r="C10" s="45"/>
      <c r="D10" s="46"/>
      <c r="E10" s="46"/>
      <c r="F10" s="46"/>
      <c r="G10" s="45"/>
      <c r="H10" s="45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</row>
    <row r="11" spans="1:36">
      <c r="A11" s="44" t="s">
        <v>10</v>
      </c>
      <c r="B11" s="40" t="s">
        <v>2</v>
      </c>
      <c r="C11" s="47"/>
      <c r="D11" s="48"/>
      <c r="E11" s="48"/>
      <c r="F11" s="48"/>
      <c r="G11" s="47"/>
      <c r="H11" s="47"/>
      <c r="I11" s="47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</row>
    <row r="12" spans="1:36">
      <c r="A12" s="44" t="s">
        <v>11</v>
      </c>
      <c r="B12" s="40" t="s">
        <v>2</v>
      </c>
      <c r="C12" s="47"/>
      <c r="D12" s="48"/>
      <c r="E12" s="48"/>
      <c r="F12" s="48"/>
      <c r="G12" s="47"/>
      <c r="H12" s="47"/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</row>
    <row r="13" spans="1:36">
      <c r="A13" s="44" t="s">
        <v>12</v>
      </c>
      <c r="B13" s="40" t="s">
        <v>2</v>
      </c>
      <c r="C13" s="47"/>
      <c r="D13" s="49">
        <f>SUM(D4-D7-D8-D9)</f>
        <v>0</v>
      </c>
      <c r="E13" s="49">
        <f t="shared" ref="E13:J13" si="13">SUM(E4-E7-E8-E9)</f>
        <v>0</v>
      </c>
      <c r="F13" s="49">
        <f t="shared" si="13"/>
        <v>0</v>
      </c>
      <c r="G13" s="49">
        <f t="shared" si="13"/>
        <v>-216000</v>
      </c>
      <c r="H13" s="49">
        <f t="shared" si="13"/>
        <v>-193370</v>
      </c>
      <c r="I13" s="49">
        <f t="shared" si="13"/>
        <v>-30570</v>
      </c>
      <c r="J13" s="49">
        <f t="shared" si="13"/>
        <v>-30570</v>
      </c>
      <c r="K13" s="49"/>
      <c r="L13" s="49">
        <f>SUM(L4-L7-L8-L9)</f>
        <v>-30570</v>
      </c>
      <c r="M13" s="49">
        <f t="shared" ref="M13:W13" si="14">SUM(M4-M7-M8-M9)</f>
        <v>-30570</v>
      </c>
      <c r="N13" s="49">
        <f t="shared" si="14"/>
        <v>-30570</v>
      </c>
      <c r="O13" s="49">
        <f t="shared" si="14"/>
        <v>-30570</v>
      </c>
      <c r="P13" s="49">
        <f t="shared" si="14"/>
        <v>-30570</v>
      </c>
      <c r="Q13" s="49">
        <f t="shared" si="14"/>
        <v>-262670</v>
      </c>
      <c r="R13" s="49">
        <f t="shared" si="14"/>
        <v>414092</v>
      </c>
      <c r="S13" s="49">
        <f t="shared" si="14"/>
        <v>194292</v>
      </c>
      <c r="T13" s="49">
        <f t="shared" si="14"/>
        <v>194292</v>
      </c>
      <c r="U13" s="49">
        <f t="shared" si="14"/>
        <v>104644</v>
      </c>
      <c r="V13" s="49">
        <f t="shared" si="14"/>
        <v>194292</v>
      </c>
      <c r="W13" s="49">
        <f t="shared" si="14"/>
        <v>194292</v>
      </c>
      <c r="X13" s="49"/>
      <c r="Y13" s="49">
        <f>SUM(Y4-Y7-Y8-Y9)</f>
        <v>194292</v>
      </c>
      <c r="Z13" s="49">
        <f t="shared" ref="Z13:AJ13" si="15">SUM(Z4-Z7-Z8-Z9)</f>
        <v>194292</v>
      </c>
      <c r="AA13" s="49">
        <f t="shared" si="15"/>
        <v>194292</v>
      </c>
      <c r="AB13" s="49">
        <f t="shared" si="15"/>
        <v>194292</v>
      </c>
      <c r="AC13" s="49">
        <f t="shared" si="15"/>
        <v>194292</v>
      </c>
      <c r="AD13" s="49">
        <f t="shared" si="15"/>
        <v>194292</v>
      </c>
      <c r="AE13" s="49">
        <f t="shared" si="15"/>
        <v>194292</v>
      </c>
      <c r="AF13" s="49">
        <f t="shared" si="15"/>
        <v>194292</v>
      </c>
      <c r="AG13" s="49">
        <f t="shared" si="15"/>
        <v>194292</v>
      </c>
      <c r="AH13" s="49">
        <f t="shared" si="15"/>
        <v>-30570</v>
      </c>
      <c r="AI13" s="49">
        <f t="shared" si="15"/>
        <v>-30570</v>
      </c>
      <c r="AJ13" s="49">
        <f t="shared" si="15"/>
        <v>-30570</v>
      </c>
    </row>
    <row r="14" spans="1:36">
      <c r="A14" s="44" t="s">
        <v>13</v>
      </c>
      <c r="B14" s="40" t="s">
        <v>2</v>
      </c>
      <c r="C14" s="47"/>
      <c r="D14" s="48"/>
      <c r="E14" s="48"/>
      <c r="F14" s="48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</row>
    <row r="15" spans="1:36">
      <c r="A15" s="69" t="s">
        <v>51</v>
      </c>
      <c r="R15" t="s">
        <v>52</v>
      </c>
      <c r="V15" t="s">
        <v>53</v>
      </c>
    </row>
    <row r="16" spans="1:36">
      <c r="R16" t="s">
        <v>54</v>
      </c>
      <c r="W16" s="89">
        <v>30570</v>
      </c>
    </row>
  </sheetData>
  <phoneticPr fontId="2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03AA-038F-40E2-8472-0B11FC9614C8}">
  <dimension ref="A1:AJ16"/>
  <sheetViews>
    <sheetView zoomScale="85" zoomScaleNormal="85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G8" sqref="AG8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6">
        <v>45961</v>
      </c>
      <c r="AB1" s="6">
        <v>45991</v>
      </c>
      <c r="AC1" s="6">
        <v>46022</v>
      </c>
      <c r="AD1" s="6">
        <v>46053</v>
      </c>
      <c r="AE1" s="6">
        <v>46081</v>
      </c>
      <c r="AF1" s="6">
        <v>46112</v>
      </c>
      <c r="AG1" s="6">
        <v>46142</v>
      </c>
      <c r="AH1" s="6">
        <v>46173</v>
      </c>
      <c r="AI1" s="6">
        <v>46203</v>
      </c>
      <c r="AJ1" s="6">
        <v>46234</v>
      </c>
    </row>
    <row r="2" spans="1:36">
      <c r="A2" s="39" t="s">
        <v>55</v>
      </c>
      <c r="B2" s="40"/>
      <c r="C2" s="41">
        <v>45387</v>
      </c>
      <c r="D2" s="42"/>
      <c r="E2" s="42"/>
      <c r="F2" s="42"/>
      <c r="G2" s="43"/>
      <c r="H2" s="43"/>
      <c r="I2" s="43"/>
      <c r="J2" s="43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spans="1:36">
      <c r="A3" s="44" t="s">
        <v>1</v>
      </c>
      <c r="B3" s="40" t="s">
        <v>2</v>
      </c>
      <c r="C3" s="43">
        <v>55780000</v>
      </c>
      <c r="D3" s="42"/>
      <c r="E3" s="42"/>
      <c r="F3" s="42"/>
      <c r="G3" s="43"/>
      <c r="H3" s="43"/>
      <c r="I3" s="43"/>
      <c r="J3" s="43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</row>
    <row r="4" spans="1:36">
      <c r="A4" s="44" t="s">
        <v>15</v>
      </c>
      <c r="B4" s="40" t="s">
        <v>2</v>
      </c>
      <c r="C4" s="43">
        <v>222000</v>
      </c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522418</v>
      </c>
      <c r="K4" s="43"/>
      <c r="L4" s="43">
        <v>231000</v>
      </c>
      <c r="M4" s="43">
        <v>231000</v>
      </c>
      <c r="N4" s="43">
        <v>231000</v>
      </c>
      <c r="O4" s="43">
        <v>231000</v>
      </c>
      <c r="P4" s="43">
        <v>231000</v>
      </c>
      <c r="Q4" s="43">
        <v>231000</v>
      </c>
      <c r="R4" s="43">
        <v>231000</v>
      </c>
      <c r="S4" s="43">
        <v>231000</v>
      </c>
      <c r="T4" s="43">
        <v>231000</v>
      </c>
      <c r="U4" s="43">
        <v>231000</v>
      </c>
      <c r="V4" s="43">
        <v>231000</v>
      </c>
      <c r="W4" s="43">
        <v>231000</v>
      </c>
      <c r="X4" s="43"/>
      <c r="Y4" s="43">
        <v>231000</v>
      </c>
      <c r="Z4" s="43">
        <v>231000</v>
      </c>
      <c r="AA4" s="43">
        <v>231000</v>
      </c>
      <c r="AB4" s="43">
        <v>231000</v>
      </c>
      <c r="AC4" s="43">
        <v>231000</v>
      </c>
      <c r="AD4" s="43">
        <v>231000</v>
      </c>
      <c r="AE4" s="43">
        <v>231000</v>
      </c>
      <c r="AF4" s="43">
        <v>231000</v>
      </c>
      <c r="AG4" s="43">
        <v>231000</v>
      </c>
      <c r="AH4" s="43"/>
      <c r="AI4" s="43"/>
      <c r="AJ4" s="43"/>
    </row>
    <row r="5" spans="1:36">
      <c r="A5" s="44" t="s">
        <v>4</v>
      </c>
      <c r="B5" s="40" t="s">
        <v>2</v>
      </c>
      <c r="C5" s="43"/>
      <c r="D5" s="43"/>
      <c r="E5" s="43"/>
      <c r="F5" s="43"/>
      <c r="G5" s="43">
        <v>40899</v>
      </c>
      <c r="H5" s="43">
        <v>40899</v>
      </c>
      <c r="I5" s="43">
        <v>40899</v>
      </c>
      <c r="J5" s="43">
        <v>40899</v>
      </c>
      <c r="K5" s="42"/>
      <c r="L5" s="43">
        <v>40899</v>
      </c>
      <c r="M5" s="43">
        <v>40899</v>
      </c>
      <c r="N5" s="43">
        <v>40899</v>
      </c>
      <c r="O5" s="43">
        <v>40899</v>
      </c>
      <c r="P5" s="43">
        <v>40899</v>
      </c>
      <c r="Q5" s="43">
        <v>40900</v>
      </c>
      <c r="R5" s="43">
        <v>40899</v>
      </c>
      <c r="S5" s="43">
        <v>40899</v>
      </c>
      <c r="T5" s="43">
        <v>40899</v>
      </c>
      <c r="U5" s="43">
        <v>40899</v>
      </c>
      <c r="V5" s="43">
        <v>40899</v>
      </c>
      <c r="W5" s="43">
        <v>40900</v>
      </c>
      <c r="X5" s="42"/>
      <c r="Y5" s="43">
        <v>40899</v>
      </c>
      <c r="Z5" s="43">
        <v>40899</v>
      </c>
      <c r="AA5" s="43">
        <v>40899</v>
      </c>
      <c r="AB5" s="43">
        <v>40899</v>
      </c>
      <c r="AC5" s="43">
        <v>40899</v>
      </c>
      <c r="AD5" s="43">
        <v>40900</v>
      </c>
      <c r="AE5" s="43">
        <v>40899</v>
      </c>
      <c r="AF5" s="43">
        <v>40899</v>
      </c>
      <c r="AG5" s="43">
        <v>40899</v>
      </c>
      <c r="AH5" s="43">
        <v>40899</v>
      </c>
      <c r="AI5" s="43">
        <v>40899</v>
      </c>
      <c r="AJ5" s="43">
        <v>40900</v>
      </c>
    </row>
    <row r="6" spans="1:36">
      <c r="A6" s="44" t="s">
        <v>5</v>
      </c>
      <c r="B6" s="40" t="s">
        <v>2</v>
      </c>
      <c r="C6" s="43">
        <v>22308659</v>
      </c>
      <c r="D6" s="43"/>
      <c r="E6" s="43"/>
      <c r="F6" s="43"/>
      <c r="G6" s="43">
        <f>SUM(C6-G5)</f>
        <v>22267760</v>
      </c>
      <c r="H6" s="43">
        <f t="shared" ref="H6:J6" si="0">SUM(G6-H5)</f>
        <v>22226861</v>
      </c>
      <c r="I6" s="43">
        <f t="shared" si="0"/>
        <v>22185962</v>
      </c>
      <c r="J6" s="43">
        <f t="shared" si="0"/>
        <v>22145063</v>
      </c>
      <c r="K6" s="42"/>
      <c r="L6" s="43">
        <f>SUM(J6-L5)</f>
        <v>22104164</v>
      </c>
      <c r="M6" s="43">
        <f t="shared" ref="M6:W6" si="1">SUM(L6-M5)</f>
        <v>22063265</v>
      </c>
      <c r="N6" s="43">
        <f t="shared" si="1"/>
        <v>22022366</v>
      </c>
      <c r="O6" s="43">
        <f t="shared" si="1"/>
        <v>21981467</v>
      </c>
      <c r="P6" s="43">
        <f t="shared" si="1"/>
        <v>21940568</v>
      </c>
      <c r="Q6" s="43">
        <f t="shared" si="1"/>
        <v>21899668</v>
      </c>
      <c r="R6" s="43">
        <f t="shared" si="1"/>
        <v>21858769</v>
      </c>
      <c r="S6" s="43">
        <f t="shared" si="1"/>
        <v>21817870</v>
      </c>
      <c r="T6" s="43">
        <f t="shared" si="1"/>
        <v>21776971</v>
      </c>
      <c r="U6" s="43">
        <f t="shared" si="1"/>
        <v>21736072</v>
      </c>
      <c r="V6" s="43">
        <f t="shared" si="1"/>
        <v>21695173</v>
      </c>
      <c r="W6" s="43">
        <f t="shared" si="1"/>
        <v>21654273</v>
      </c>
      <c r="X6" s="42"/>
      <c r="Y6" s="43">
        <f>SUM(W6-Y5)</f>
        <v>21613374</v>
      </c>
      <c r="Z6" s="43">
        <f>SUM(Y6-Z5)</f>
        <v>21572475</v>
      </c>
      <c r="AA6" s="43">
        <f t="shared" ref="AA6" si="2">SUM(Z6-AA5)</f>
        <v>21531576</v>
      </c>
      <c r="AB6" s="43">
        <f t="shared" ref="AB6" si="3">SUM(AA6-AB5)</f>
        <v>21490677</v>
      </c>
      <c r="AC6" s="43">
        <f t="shared" ref="AC6" si="4">SUM(AB6-AC5)</f>
        <v>21449778</v>
      </c>
      <c r="AD6" s="43">
        <f t="shared" ref="AD6" si="5">SUM(AC6-AD5)</f>
        <v>21408878</v>
      </c>
      <c r="AE6" s="43">
        <f t="shared" ref="AE6" si="6">SUM(AD6-AE5)</f>
        <v>21367979</v>
      </c>
      <c r="AF6" s="43">
        <f t="shared" ref="AF6" si="7">SUM(AE6-AF5)</f>
        <v>21327080</v>
      </c>
      <c r="AG6" s="43">
        <f t="shared" ref="AG6" si="8">SUM(AF6-AG5)</f>
        <v>21286181</v>
      </c>
      <c r="AH6" s="43">
        <f t="shared" ref="AH6" si="9">SUM(AG6-AH5)</f>
        <v>21245282</v>
      </c>
      <c r="AI6" s="43">
        <f t="shared" ref="AI6" si="10">SUM(AH6-AI5)</f>
        <v>21204383</v>
      </c>
      <c r="AJ6" s="43">
        <f t="shared" ref="AJ6" si="11">SUM(AI6-AJ5)</f>
        <v>21163483</v>
      </c>
    </row>
    <row r="7" spans="1:36">
      <c r="A7" s="44" t="s">
        <v>16</v>
      </c>
      <c r="B7" s="40" t="s">
        <v>2</v>
      </c>
      <c r="C7" s="43">
        <v>30570</v>
      </c>
      <c r="D7" s="42"/>
      <c r="E7" s="42"/>
      <c r="F7" s="42"/>
      <c r="G7" s="43">
        <v>0</v>
      </c>
      <c r="H7" s="43">
        <v>30570</v>
      </c>
      <c r="I7" s="43">
        <v>30570</v>
      </c>
      <c r="J7" s="43">
        <v>30570</v>
      </c>
      <c r="K7" s="42"/>
      <c r="L7" s="43">
        <v>30570</v>
      </c>
      <c r="M7" s="43">
        <v>30570</v>
      </c>
      <c r="N7" s="43">
        <v>30570</v>
      </c>
      <c r="O7" s="43">
        <v>30570</v>
      </c>
      <c r="P7" s="43">
        <v>30570</v>
      </c>
      <c r="Q7" s="43">
        <v>30570</v>
      </c>
      <c r="R7" s="43">
        <v>30570</v>
      </c>
      <c r="S7" s="43">
        <v>30570</v>
      </c>
      <c r="T7" s="43">
        <v>30570</v>
      </c>
      <c r="U7" s="43">
        <v>30570</v>
      </c>
      <c r="V7" s="43">
        <v>30570</v>
      </c>
      <c r="W7" s="43">
        <v>30570</v>
      </c>
      <c r="X7" s="42"/>
      <c r="Y7" s="43">
        <v>30570</v>
      </c>
      <c r="Z7" s="43">
        <v>30570</v>
      </c>
      <c r="AA7" s="43">
        <v>30570</v>
      </c>
      <c r="AB7" s="43">
        <v>30570</v>
      </c>
      <c r="AC7" s="43">
        <v>30570</v>
      </c>
      <c r="AD7" s="43">
        <v>30570</v>
      </c>
      <c r="AE7" s="43">
        <v>30570</v>
      </c>
      <c r="AF7" s="43">
        <v>30570</v>
      </c>
      <c r="AG7" s="43">
        <v>30570</v>
      </c>
      <c r="AH7" s="43">
        <v>30570</v>
      </c>
      <c r="AI7" s="43">
        <v>30570</v>
      </c>
      <c r="AJ7" s="43">
        <v>30570</v>
      </c>
    </row>
    <row r="8" spans="1:36">
      <c r="A8" s="44" t="s">
        <v>7</v>
      </c>
      <c r="B8" s="40" t="s">
        <v>2</v>
      </c>
      <c r="C8" s="43"/>
      <c r="D8" s="42"/>
      <c r="E8" s="42"/>
      <c r="F8" s="42"/>
      <c r="G8" s="42">
        <v>0</v>
      </c>
      <c r="H8" s="42">
        <v>0</v>
      </c>
      <c r="I8" s="42">
        <v>0</v>
      </c>
      <c r="J8" s="42"/>
      <c r="K8" s="42"/>
      <c r="L8" s="43">
        <v>7023</v>
      </c>
      <c r="M8" s="42">
        <v>5064</v>
      </c>
      <c r="N8" s="42">
        <v>5063</v>
      </c>
      <c r="O8" s="42">
        <v>5064</v>
      </c>
      <c r="P8" s="42">
        <v>5064</v>
      </c>
      <c r="Q8" s="42">
        <v>5063</v>
      </c>
      <c r="R8" s="42">
        <v>5064</v>
      </c>
      <c r="S8" s="42">
        <v>5064</v>
      </c>
      <c r="T8" s="42">
        <v>5064</v>
      </c>
      <c r="U8" s="42">
        <v>5064</v>
      </c>
      <c r="V8" s="42">
        <v>5064</v>
      </c>
      <c r="W8" s="42">
        <v>5064</v>
      </c>
      <c r="X8" s="42"/>
      <c r="Y8" s="42">
        <v>5064</v>
      </c>
      <c r="Z8" s="43">
        <v>5064</v>
      </c>
      <c r="AA8" s="43">
        <v>5064</v>
      </c>
      <c r="AB8" s="43">
        <v>5064</v>
      </c>
      <c r="AC8" s="43">
        <v>5064</v>
      </c>
      <c r="AD8" s="43">
        <v>5064</v>
      </c>
      <c r="AE8" s="42">
        <v>5064</v>
      </c>
      <c r="AF8" s="42">
        <v>5064</v>
      </c>
      <c r="AG8" s="42">
        <v>5064</v>
      </c>
      <c r="AH8" s="42"/>
      <c r="AI8" s="42"/>
      <c r="AJ8" s="42"/>
    </row>
    <row r="9" spans="1:36">
      <c r="A9" s="44" t="s">
        <v>8</v>
      </c>
      <c r="B9" s="40" t="s">
        <v>2</v>
      </c>
      <c r="C9" s="43">
        <v>721000</v>
      </c>
      <c r="D9" s="42">
        <v>0</v>
      </c>
      <c r="E9" s="42">
        <v>0</v>
      </c>
      <c r="F9" s="42">
        <v>0</v>
      </c>
      <c r="G9" s="43">
        <v>216000</v>
      </c>
      <c r="H9" s="43">
        <v>162800</v>
      </c>
      <c r="I9" s="43">
        <v>0</v>
      </c>
      <c r="J9" s="42">
        <v>233200</v>
      </c>
      <c r="K9" s="42"/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89648</v>
      </c>
      <c r="V9" s="42">
        <v>0</v>
      </c>
      <c r="W9" s="42">
        <v>0</v>
      </c>
      <c r="X9" s="42"/>
      <c r="Y9" s="42">
        <v>0</v>
      </c>
      <c r="Z9" s="42">
        <v>0</v>
      </c>
      <c r="AA9" s="42"/>
      <c r="AB9" s="42"/>
      <c r="AC9" s="42"/>
      <c r="AD9" s="42"/>
      <c r="AE9" s="42"/>
      <c r="AF9" s="42"/>
      <c r="AG9" s="42"/>
      <c r="AH9" s="42"/>
      <c r="AI9" s="42"/>
      <c r="AJ9" s="42"/>
    </row>
    <row r="10" spans="1:36">
      <c r="A10" s="44" t="s">
        <v>9</v>
      </c>
      <c r="B10" s="40" t="s">
        <v>2</v>
      </c>
      <c r="C10" s="45"/>
      <c r="D10" s="46"/>
      <c r="E10" s="46"/>
      <c r="F10" s="46"/>
      <c r="G10" s="45"/>
      <c r="H10" s="45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</row>
    <row r="11" spans="1:36">
      <c r="A11" s="44" t="s">
        <v>10</v>
      </c>
      <c r="B11" s="40" t="s">
        <v>2</v>
      </c>
      <c r="C11" s="47"/>
      <c r="D11" s="48"/>
      <c r="E11" s="48"/>
      <c r="F11" s="48"/>
      <c r="G11" s="47"/>
      <c r="H11" s="47"/>
      <c r="I11" s="47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</row>
    <row r="12" spans="1:36">
      <c r="A12" s="44" t="s">
        <v>11</v>
      </c>
      <c r="B12" s="40" t="s">
        <v>2</v>
      </c>
      <c r="C12" s="47"/>
      <c r="D12" s="48"/>
      <c r="E12" s="48"/>
      <c r="F12" s="48"/>
      <c r="G12" s="47"/>
      <c r="H12" s="47"/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</row>
    <row r="13" spans="1:36">
      <c r="A13" s="44" t="s">
        <v>12</v>
      </c>
      <c r="B13" s="40" t="s">
        <v>2</v>
      </c>
      <c r="C13" s="47"/>
      <c r="D13" s="49">
        <f>SUM(D4-D7-D8-D9)</f>
        <v>0</v>
      </c>
      <c r="E13" s="49">
        <f t="shared" ref="E13:J13" si="12">SUM(E4-E7-E8-E9)</f>
        <v>0</v>
      </c>
      <c r="F13" s="49">
        <f t="shared" si="12"/>
        <v>0</v>
      </c>
      <c r="G13" s="49">
        <f t="shared" si="12"/>
        <v>-216000</v>
      </c>
      <c r="H13" s="49">
        <f t="shared" si="12"/>
        <v>-193370</v>
      </c>
      <c r="I13" s="49">
        <f t="shared" si="12"/>
        <v>-30570</v>
      </c>
      <c r="J13" s="49">
        <f t="shared" si="12"/>
        <v>258648</v>
      </c>
      <c r="K13" s="49"/>
      <c r="L13" s="49">
        <f>SUM(L4-L7-L8-L9)</f>
        <v>193407</v>
      </c>
      <c r="M13" s="49">
        <f t="shared" ref="M13:W13" si="13">SUM(M4-M7-M8-M9)</f>
        <v>195366</v>
      </c>
      <c r="N13" s="49">
        <f t="shared" si="13"/>
        <v>195367</v>
      </c>
      <c r="O13" s="49">
        <f t="shared" si="13"/>
        <v>195366</v>
      </c>
      <c r="P13" s="49">
        <f t="shared" si="13"/>
        <v>195366</v>
      </c>
      <c r="Q13" s="49">
        <f t="shared" si="13"/>
        <v>195367</v>
      </c>
      <c r="R13" s="49">
        <f t="shared" si="13"/>
        <v>195366</v>
      </c>
      <c r="S13" s="49">
        <f t="shared" si="13"/>
        <v>195366</v>
      </c>
      <c r="T13" s="49">
        <f t="shared" si="13"/>
        <v>195366</v>
      </c>
      <c r="U13" s="49">
        <f t="shared" si="13"/>
        <v>105718</v>
      </c>
      <c r="V13" s="49">
        <f t="shared" si="13"/>
        <v>195366</v>
      </c>
      <c r="W13" s="49">
        <f t="shared" si="13"/>
        <v>195366</v>
      </c>
      <c r="X13" s="49"/>
      <c r="Y13" s="49">
        <f>SUM(Y4-Y7-Y8-Y9)</f>
        <v>195366</v>
      </c>
      <c r="Z13" s="49">
        <f t="shared" ref="Z13:AJ13" si="14">SUM(Z4-Z7-Z8-Z9)</f>
        <v>195366</v>
      </c>
      <c r="AA13" s="49">
        <f t="shared" si="14"/>
        <v>195366</v>
      </c>
      <c r="AB13" s="49">
        <f t="shared" si="14"/>
        <v>195366</v>
      </c>
      <c r="AC13" s="49">
        <f t="shared" si="14"/>
        <v>195366</v>
      </c>
      <c r="AD13" s="49">
        <f t="shared" si="14"/>
        <v>195366</v>
      </c>
      <c r="AE13" s="49">
        <f t="shared" si="14"/>
        <v>195366</v>
      </c>
      <c r="AF13" s="49">
        <f t="shared" si="14"/>
        <v>195366</v>
      </c>
      <c r="AG13" s="49">
        <f t="shared" si="14"/>
        <v>195366</v>
      </c>
      <c r="AH13" s="49">
        <f t="shared" si="14"/>
        <v>-30570</v>
      </c>
      <c r="AI13" s="49">
        <f t="shared" si="14"/>
        <v>-30570</v>
      </c>
      <c r="AJ13" s="49">
        <f t="shared" si="14"/>
        <v>-30570</v>
      </c>
    </row>
    <row r="14" spans="1:36">
      <c r="A14" s="44" t="s">
        <v>13</v>
      </c>
      <c r="B14" s="40" t="s">
        <v>2</v>
      </c>
      <c r="C14" s="47"/>
      <c r="D14" s="48"/>
      <c r="E14" s="48"/>
      <c r="F14" s="48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</row>
    <row r="15" spans="1:36">
      <c r="A15" s="69" t="s">
        <v>56</v>
      </c>
      <c r="J15" t="s">
        <v>57</v>
      </c>
      <c r="W15" s="89">
        <v>30570</v>
      </c>
    </row>
    <row r="16" spans="1:36">
      <c r="J16" t="s">
        <v>58</v>
      </c>
    </row>
  </sheetData>
  <phoneticPr fontId="2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DC15-4AA7-4B21-9B99-66D23B73DA8A}">
  <dimension ref="A1:AJ16"/>
  <sheetViews>
    <sheetView zoomScale="85" zoomScaleNormal="85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G4" sqref="AG4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39" t="s">
        <v>59</v>
      </c>
      <c r="B2" s="40"/>
      <c r="C2" s="41">
        <v>45387</v>
      </c>
      <c r="D2" s="42"/>
      <c r="E2" s="42"/>
      <c r="F2" s="42"/>
      <c r="G2" s="43"/>
      <c r="H2" s="43"/>
      <c r="I2" s="43"/>
      <c r="J2" s="43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spans="1:36">
      <c r="A3" s="44" t="s">
        <v>1</v>
      </c>
      <c r="B3" s="40" t="s">
        <v>2</v>
      </c>
      <c r="C3" s="43">
        <v>54980000</v>
      </c>
      <c r="D3" s="42"/>
      <c r="E3" s="42"/>
      <c r="F3" s="42"/>
      <c r="G3" s="43"/>
      <c r="H3" s="43"/>
      <c r="I3" s="43"/>
      <c r="J3" s="43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</row>
    <row r="4" spans="1:36">
      <c r="A4" s="44" t="s">
        <v>15</v>
      </c>
      <c r="B4" s="40" t="s">
        <v>2</v>
      </c>
      <c r="C4" s="43">
        <v>225000</v>
      </c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/>
      <c r="L4" s="43">
        <v>0</v>
      </c>
      <c r="M4" s="43">
        <v>0</v>
      </c>
      <c r="N4" s="43">
        <v>0</v>
      </c>
      <c r="O4" s="43">
        <v>0</v>
      </c>
      <c r="P4" s="43">
        <v>269049</v>
      </c>
      <c r="Q4" s="43">
        <v>233800</v>
      </c>
      <c r="R4" s="43">
        <v>233800</v>
      </c>
      <c r="S4" s="43">
        <v>233800</v>
      </c>
      <c r="T4" s="43">
        <v>233800</v>
      </c>
      <c r="U4" s="43">
        <v>233800</v>
      </c>
      <c r="V4" s="43">
        <v>233800</v>
      </c>
      <c r="W4" s="43">
        <v>233800</v>
      </c>
      <c r="X4" s="43"/>
      <c r="Y4" s="43">
        <v>233800</v>
      </c>
      <c r="Z4" s="43">
        <v>233800</v>
      </c>
      <c r="AA4" s="43">
        <v>233800</v>
      </c>
      <c r="AB4" s="43">
        <v>233800</v>
      </c>
      <c r="AC4" s="43">
        <v>233800</v>
      </c>
      <c r="AD4" s="43">
        <v>233800</v>
      </c>
      <c r="AE4" s="43">
        <v>233800</v>
      </c>
      <c r="AF4" s="43">
        <v>233800</v>
      </c>
      <c r="AG4" s="43">
        <v>233800</v>
      </c>
      <c r="AH4" s="43"/>
      <c r="AI4" s="43"/>
      <c r="AJ4" s="43"/>
    </row>
    <row r="5" spans="1:36">
      <c r="A5" s="44" t="s">
        <v>4</v>
      </c>
      <c r="B5" s="40" t="s">
        <v>2</v>
      </c>
      <c r="C5" s="43"/>
      <c r="D5" s="43"/>
      <c r="E5" s="43"/>
      <c r="F5" s="43"/>
      <c r="G5" s="43">
        <v>39564</v>
      </c>
      <c r="H5" s="43">
        <v>39564</v>
      </c>
      <c r="I5" s="43">
        <v>39564</v>
      </c>
      <c r="J5" s="43">
        <v>39565</v>
      </c>
      <c r="K5" s="42"/>
      <c r="L5" s="43">
        <v>39564</v>
      </c>
      <c r="M5" s="43">
        <v>39564</v>
      </c>
      <c r="N5" s="43">
        <v>39564</v>
      </c>
      <c r="O5" s="43">
        <v>39564</v>
      </c>
      <c r="P5" s="43">
        <v>39564</v>
      </c>
      <c r="Q5" s="43">
        <v>39566</v>
      </c>
      <c r="R5" s="43">
        <v>39564</v>
      </c>
      <c r="S5" s="43">
        <v>39564</v>
      </c>
      <c r="T5" s="43">
        <v>39564</v>
      </c>
      <c r="U5" s="43">
        <v>39564</v>
      </c>
      <c r="V5" s="43">
        <v>39564</v>
      </c>
      <c r="W5" s="43">
        <v>39566</v>
      </c>
      <c r="X5" s="42"/>
      <c r="Y5" s="43">
        <v>39564</v>
      </c>
      <c r="Z5" s="43">
        <v>39564</v>
      </c>
      <c r="AA5" s="43">
        <v>39564</v>
      </c>
      <c r="AB5" s="43">
        <v>39564</v>
      </c>
      <c r="AC5" s="43">
        <v>39564</v>
      </c>
      <c r="AD5" s="43">
        <v>39566</v>
      </c>
      <c r="AE5" s="43">
        <v>39564</v>
      </c>
      <c r="AF5" s="43">
        <v>39564</v>
      </c>
      <c r="AG5" s="43">
        <v>39564</v>
      </c>
      <c r="AH5" s="43">
        <v>39564</v>
      </c>
      <c r="AI5" s="43">
        <v>39564</v>
      </c>
      <c r="AJ5" s="43">
        <v>39566</v>
      </c>
    </row>
    <row r="6" spans="1:36">
      <c r="A6" s="44" t="s">
        <v>5</v>
      </c>
      <c r="B6" s="40" t="s">
        <v>2</v>
      </c>
      <c r="C6" s="43">
        <v>21580585</v>
      </c>
      <c r="D6" s="43"/>
      <c r="E6" s="43"/>
      <c r="F6" s="43"/>
      <c r="G6" s="43">
        <f>SUM(C6-G5)</f>
        <v>21541021</v>
      </c>
      <c r="H6" s="43">
        <f t="shared" ref="H6:J6" si="0">SUM(G6-H5)</f>
        <v>21501457</v>
      </c>
      <c r="I6" s="43">
        <f t="shared" si="0"/>
        <v>21461893</v>
      </c>
      <c r="J6" s="43">
        <f t="shared" si="0"/>
        <v>21422328</v>
      </c>
      <c r="K6" s="42"/>
      <c r="L6" s="43">
        <f>SUM(J6-L5)</f>
        <v>21382764</v>
      </c>
      <c r="M6" s="43">
        <f t="shared" ref="M6:W6" si="1">SUM(L6-M5)</f>
        <v>21343200</v>
      </c>
      <c r="N6" s="43">
        <f t="shared" si="1"/>
        <v>21303636</v>
      </c>
      <c r="O6" s="43">
        <f t="shared" si="1"/>
        <v>21264072</v>
      </c>
      <c r="P6" s="43">
        <f t="shared" si="1"/>
        <v>21224508</v>
      </c>
      <c r="Q6" s="43">
        <f t="shared" si="1"/>
        <v>21184942</v>
      </c>
      <c r="R6" s="43">
        <f t="shared" si="1"/>
        <v>21145378</v>
      </c>
      <c r="S6" s="43">
        <f t="shared" si="1"/>
        <v>21105814</v>
      </c>
      <c r="T6" s="43">
        <f t="shared" si="1"/>
        <v>21066250</v>
      </c>
      <c r="U6" s="43">
        <f t="shared" si="1"/>
        <v>21026686</v>
      </c>
      <c r="V6" s="43">
        <f t="shared" si="1"/>
        <v>20987122</v>
      </c>
      <c r="W6" s="43">
        <f t="shared" si="1"/>
        <v>20947556</v>
      </c>
      <c r="X6" s="42"/>
      <c r="Y6" s="43">
        <f>SUM(W6-Y5)</f>
        <v>20907992</v>
      </c>
      <c r="Z6" s="43">
        <f t="shared" ref="Z6" si="2">SUM(Y6-Z5)</f>
        <v>20868428</v>
      </c>
      <c r="AA6" s="43">
        <f t="shared" ref="AA6" si="3">SUM(Z6-AA5)</f>
        <v>20828864</v>
      </c>
      <c r="AB6" s="43">
        <f t="shared" ref="AB6" si="4">SUM(AA6-AB5)</f>
        <v>20789300</v>
      </c>
      <c r="AC6" s="43">
        <f t="shared" ref="AC6" si="5">SUM(AB6-AC5)</f>
        <v>20749736</v>
      </c>
      <c r="AD6" s="43">
        <f t="shared" ref="AD6" si="6">SUM(AC6-AD5)</f>
        <v>20710170</v>
      </c>
      <c r="AE6" s="43">
        <f t="shared" ref="AE6" si="7">SUM(AD6-AE5)</f>
        <v>20670606</v>
      </c>
      <c r="AF6" s="43">
        <f t="shared" ref="AF6" si="8">SUM(AE6-AF5)</f>
        <v>20631042</v>
      </c>
      <c r="AG6" s="43">
        <f t="shared" ref="AG6" si="9">SUM(AF6-AG5)</f>
        <v>20591478</v>
      </c>
      <c r="AH6" s="43">
        <f t="shared" ref="AH6" si="10">SUM(AG6-AH5)</f>
        <v>20551914</v>
      </c>
      <c r="AI6" s="43">
        <f t="shared" ref="AI6" si="11">SUM(AH6-AI5)</f>
        <v>20512350</v>
      </c>
      <c r="AJ6" s="43">
        <f t="shared" ref="AJ6" si="12">SUM(AI6-AJ5)</f>
        <v>20472784</v>
      </c>
    </row>
    <row r="7" spans="1:36">
      <c r="A7" s="44" t="s">
        <v>16</v>
      </c>
      <c r="B7" s="40" t="s">
        <v>2</v>
      </c>
      <c r="C7" s="43">
        <v>30570</v>
      </c>
      <c r="D7" s="42"/>
      <c r="E7" s="42"/>
      <c r="F7" s="42"/>
      <c r="G7" s="43">
        <v>0</v>
      </c>
      <c r="H7" s="43">
        <v>30570</v>
      </c>
      <c r="I7" s="43">
        <v>30570</v>
      </c>
      <c r="J7" s="43">
        <v>30570</v>
      </c>
      <c r="K7" s="42"/>
      <c r="L7" s="43">
        <v>30570</v>
      </c>
      <c r="M7" s="43">
        <v>30570</v>
      </c>
      <c r="N7" s="43">
        <v>30570</v>
      </c>
      <c r="O7" s="43">
        <v>30570</v>
      </c>
      <c r="P7" s="43">
        <v>30570</v>
      </c>
      <c r="Q7" s="43">
        <v>30570</v>
      </c>
      <c r="R7" s="43">
        <v>30570</v>
      </c>
      <c r="S7" s="43">
        <v>30570</v>
      </c>
      <c r="T7" s="43">
        <v>30570</v>
      </c>
      <c r="U7" s="43">
        <v>30570</v>
      </c>
      <c r="V7" s="43">
        <v>30570</v>
      </c>
      <c r="W7" s="43">
        <v>30570</v>
      </c>
      <c r="X7" s="42"/>
      <c r="Y7" s="43">
        <v>30570</v>
      </c>
      <c r="Z7" s="43">
        <v>30570</v>
      </c>
      <c r="AA7" s="43">
        <v>30570</v>
      </c>
      <c r="AB7" s="43">
        <v>30570</v>
      </c>
      <c r="AC7" s="43">
        <v>30570</v>
      </c>
      <c r="AD7" s="43">
        <v>30570</v>
      </c>
      <c r="AE7" s="43">
        <v>30570</v>
      </c>
      <c r="AF7" s="43">
        <v>30570</v>
      </c>
      <c r="AG7" s="43">
        <v>30570</v>
      </c>
      <c r="AH7" s="43">
        <v>30570</v>
      </c>
      <c r="AI7" s="43">
        <v>30570</v>
      </c>
      <c r="AJ7" s="43">
        <v>30570</v>
      </c>
    </row>
    <row r="8" spans="1:36">
      <c r="A8" s="44" t="s">
        <v>7</v>
      </c>
      <c r="B8" s="40" t="s">
        <v>2</v>
      </c>
      <c r="C8" s="43"/>
      <c r="D8" s="42"/>
      <c r="E8" s="42"/>
      <c r="F8" s="42"/>
      <c r="G8" s="42">
        <v>0</v>
      </c>
      <c r="H8" s="42">
        <v>0</v>
      </c>
      <c r="I8" s="42">
        <v>0</v>
      </c>
      <c r="J8" s="42">
        <v>0</v>
      </c>
      <c r="K8" s="42"/>
      <c r="L8" s="43">
        <v>0</v>
      </c>
      <c r="M8" s="42">
        <v>0</v>
      </c>
      <c r="N8" s="42">
        <v>0</v>
      </c>
      <c r="O8" s="42">
        <v>0</v>
      </c>
      <c r="P8" s="42">
        <v>992</v>
      </c>
      <c r="Q8" s="42">
        <v>5126</v>
      </c>
      <c r="R8" s="42">
        <v>5126</v>
      </c>
      <c r="S8" s="42">
        <v>5126</v>
      </c>
      <c r="T8" s="42">
        <v>5126</v>
      </c>
      <c r="U8" s="42">
        <v>5126</v>
      </c>
      <c r="V8" s="42">
        <v>5126</v>
      </c>
      <c r="W8" s="42">
        <v>5126</v>
      </c>
      <c r="X8" s="42"/>
      <c r="Y8" s="42">
        <v>5126</v>
      </c>
      <c r="Z8" s="43">
        <v>5126</v>
      </c>
      <c r="AA8" s="43">
        <v>5126</v>
      </c>
      <c r="AB8" s="42">
        <v>5126</v>
      </c>
      <c r="AC8" s="42">
        <v>5126</v>
      </c>
      <c r="AD8" s="42">
        <v>5126</v>
      </c>
      <c r="AE8" s="42">
        <v>5126</v>
      </c>
      <c r="AF8" s="42">
        <v>5126</v>
      </c>
      <c r="AG8" s="42"/>
      <c r="AH8" s="42"/>
      <c r="AI8" s="42"/>
      <c r="AJ8" s="42"/>
    </row>
    <row r="9" spans="1:36">
      <c r="A9" s="44" t="s">
        <v>8</v>
      </c>
      <c r="B9" s="40" t="s">
        <v>2</v>
      </c>
      <c r="C9" s="43">
        <v>721000</v>
      </c>
      <c r="D9" s="42">
        <v>0</v>
      </c>
      <c r="E9" s="42">
        <v>0</v>
      </c>
      <c r="F9" s="42">
        <v>0</v>
      </c>
      <c r="G9" s="43">
        <v>216000</v>
      </c>
      <c r="H9" s="43">
        <v>162800</v>
      </c>
      <c r="I9" s="43">
        <v>0</v>
      </c>
      <c r="J9" s="43">
        <v>0</v>
      </c>
      <c r="K9" s="42"/>
      <c r="L9" s="42">
        <v>0</v>
      </c>
      <c r="M9" s="42">
        <v>0</v>
      </c>
      <c r="N9" s="42">
        <v>0</v>
      </c>
      <c r="O9" s="42">
        <v>0</v>
      </c>
      <c r="P9" s="42">
        <v>236500</v>
      </c>
      <c r="Q9" s="42">
        <v>0</v>
      </c>
      <c r="R9" s="42">
        <v>0</v>
      </c>
      <c r="S9" s="42">
        <v>0</v>
      </c>
      <c r="T9" s="42">
        <v>0</v>
      </c>
      <c r="U9" s="42">
        <v>89648</v>
      </c>
      <c r="V9" s="42">
        <v>0</v>
      </c>
      <c r="W9" s="42">
        <v>0</v>
      </c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</row>
    <row r="10" spans="1:36">
      <c r="A10" s="44" t="s">
        <v>9</v>
      </c>
      <c r="B10" s="40" t="s">
        <v>2</v>
      </c>
      <c r="C10" s="45"/>
      <c r="D10" s="46"/>
      <c r="E10" s="46"/>
      <c r="F10" s="46"/>
      <c r="G10" s="45"/>
      <c r="H10" s="45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</row>
    <row r="11" spans="1:36">
      <c r="A11" s="44" t="s">
        <v>10</v>
      </c>
      <c r="B11" s="40" t="s">
        <v>2</v>
      </c>
      <c r="C11" s="47"/>
      <c r="D11" s="48"/>
      <c r="E11" s="48"/>
      <c r="F11" s="48"/>
      <c r="G11" s="47"/>
      <c r="H11" s="47"/>
      <c r="I11" s="47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</row>
    <row r="12" spans="1:36">
      <c r="A12" s="44" t="s">
        <v>11</v>
      </c>
      <c r="B12" s="40" t="s">
        <v>2</v>
      </c>
      <c r="C12" s="47"/>
      <c r="D12" s="48"/>
      <c r="E12" s="48"/>
      <c r="F12" s="48"/>
      <c r="G12" s="47"/>
      <c r="H12" s="47"/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</row>
    <row r="13" spans="1:36">
      <c r="A13" s="44" t="s">
        <v>12</v>
      </c>
      <c r="B13" s="40" t="s">
        <v>2</v>
      </c>
      <c r="C13" s="47"/>
      <c r="D13" s="49">
        <f>SUM(D4-D7-D8-D9)</f>
        <v>0</v>
      </c>
      <c r="E13" s="49">
        <f t="shared" ref="E13:J13" si="13">SUM(E4-E7-E8-E9)</f>
        <v>0</v>
      </c>
      <c r="F13" s="49">
        <f t="shared" si="13"/>
        <v>0</v>
      </c>
      <c r="G13" s="49">
        <f t="shared" si="13"/>
        <v>-216000</v>
      </c>
      <c r="H13" s="49">
        <f t="shared" si="13"/>
        <v>-193370</v>
      </c>
      <c r="I13" s="49">
        <f t="shared" si="13"/>
        <v>-30570</v>
      </c>
      <c r="J13" s="49">
        <f t="shared" si="13"/>
        <v>-30570</v>
      </c>
      <c r="K13" s="49"/>
      <c r="L13" s="49">
        <f>SUM(L4-L7-L8-L9)</f>
        <v>-30570</v>
      </c>
      <c r="M13" s="49">
        <f t="shared" ref="M13:W13" si="14">SUM(M4-M7-M8-M9)</f>
        <v>-30570</v>
      </c>
      <c r="N13" s="49">
        <f t="shared" si="14"/>
        <v>-30570</v>
      </c>
      <c r="O13" s="49">
        <f t="shared" si="14"/>
        <v>-30570</v>
      </c>
      <c r="P13" s="49">
        <f t="shared" si="14"/>
        <v>987</v>
      </c>
      <c r="Q13" s="49">
        <f t="shared" si="14"/>
        <v>198104</v>
      </c>
      <c r="R13" s="49">
        <f t="shared" si="14"/>
        <v>198104</v>
      </c>
      <c r="S13" s="49">
        <f t="shared" si="14"/>
        <v>198104</v>
      </c>
      <c r="T13" s="49">
        <f t="shared" si="14"/>
        <v>198104</v>
      </c>
      <c r="U13" s="49">
        <f t="shared" si="14"/>
        <v>108456</v>
      </c>
      <c r="V13" s="49">
        <f t="shared" si="14"/>
        <v>198104</v>
      </c>
      <c r="W13" s="49">
        <f t="shared" si="14"/>
        <v>198104</v>
      </c>
      <c r="X13" s="49"/>
      <c r="Y13" s="49">
        <f>SUM(Y4-Y7-Y8-Y9)</f>
        <v>198104</v>
      </c>
      <c r="Z13" s="49">
        <f t="shared" ref="Z13:AJ13" si="15">SUM(Z4-Z7-Z8-Z9)</f>
        <v>198104</v>
      </c>
      <c r="AA13" s="49">
        <f t="shared" si="15"/>
        <v>198104</v>
      </c>
      <c r="AB13" s="49">
        <f t="shared" si="15"/>
        <v>198104</v>
      </c>
      <c r="AC13" s="49">
        <f t="shared" si="15"/>
        <v>198104</v>
      </c>
      <c r="AD13" s="49">
        <f t="shared" si="15"/>
        <v>198104</v>
      </c>
      <c r="AE13" s="49">
        <f t="shared" si="15"/>
        <v>198104</v>
      </c>
      <c r="AF13" s="49">
        <f t="shared" si="15"/>
        <v>198104</v>
      </c>
      <c r="AG13" s="49">
        <f t="shared" si="15"/>
        <v>203230</v>
      </c>
      <c r="AH13" s="49">
        <f t="shared" si="15"/>
        <v>-30570</v>
      </c>
      <c r="AI13" s="49">
        <f t="shared" si="15"/>
        <v>-30570</v>
      </c>
      <c r="AJ13" s="49">
        <f t="shared" si="15"/>
        <v>-30570</v>
      </c>
    </row>
    <row r="14" spans="1:36">
      <c r="A14" s="44" t="s">
        <v>13</v>
      </c>
      <c r="B14" s="40" t="s">
        <v>2</v>
      </c>
      <c r="C14" s="47"/>
      <c r="D14" s="48"/>
      <c r="E14" s="48"/>
      <c r="F14" s="48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</row>
    <row r="15" spans="1:36">
      <c r="A15" s="69" t="s">
        <v>60</v>
      </c>
      <c r="P15" t="s">
        <v>61</v>
      </c>
      <c r="W15" s="89">
        <v>30570</v>
      </c>
    </row>
    <row r="16" spans="1:36">
      <c r="P16" t="s">
        <v>62</v>
      </c>
    </row>
  </sheetData>
  <phoneticPr fontId="2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2A60-E3B5-4CCC-B8A9-561143B1522D}">
  <dimension ref="A1:AJ16"/>
  <sheetViews>
    <sheetView zoomScale="85" zoomScaleNormal="85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H21" sqref="AH21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39" t="s">
        <v>63</v>
      </c>
      <c r="B2" s="40"/>
      <c r="C2" s="41">
        <v>45387</v>
      </c>
      <c r="D2" s="42"/>
      <c r="E2" s="42"/>
      <c r="F2" s="42"/>
      <c r="G2" s="43"/>
      <c r="H2" s="43"/>
      <c r="I2" s="43"/>
      <c r="J2" s="43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spans="1:36">
      <c r="A3" s="44" t="s">
        <v>1</v>
      </c>
      <c r="B3" s="40" t="s">
        <v>2</v>
      </c>
      <c r="C3" s="43">
        <v>56480000</v>
      </c>
      <c r="D3" s="42"/>
      <c r="E3" s="42"/>
      <c r="F3" s="42"/>
      <c r="G3" s="43"/>
      <c r="H3" s="43"/>
      <c r="I3" s="43"/>
      <c r="J3" s="43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</row>
    <row r="4" spans="1:36">
      <c r="A4" s="44" t="s">
        <v>15</v>
      </c>
      <c r="B4" s="40" t="s">
        <v>2</v>
      </c>
      <c r="C4" s="43">
        <v>226000</v>
      </c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519682</v>
      </c>
      <c r="K4" s="43"/>
      <c r="L4" s="43">
        <v>226200</v>
      </c>
      <c r="M4" s="43">
        <v>226200</v>
      </c>
      <c r="N4" s="43">
        <v>226200</v>
      </c>
      <c r="O4" s="43">
        <v>226200</v>
      </c>
      <c r="P4" s="43">
        <v>226200</v>
      </c>
      <c r="Q4" s="43">
        <v>226200</v>
      </c>
      <c r="R4" s="43">
        <v>226200</v>
      </c>
      <c r="S4" s="43">
        <v>226200</v>
      </c>
      <c r="T4" s="43">
        <v>226200</v>
      </c>
      <c r="U4" s="43">
        <v>226200</v>
      </c>
      <c r="V4" s="43">
        <v>226200</v>
      </c>
      <c r="W4" s="43">
        <v>226200</v>
      </c>
      <c r="X4" s="43"/>
      <c r="Y4" s="43">
        <v>226200</v>
      </c>
      <c r="Z4" s="43">
        <v>226200</v>
      </c>
      <c r="AA4" s="43">
        <v>226200</v>
      </c>
      <c r="AB4" s="43">
        <v>226200</v>
      </c>
      <c r="AC4" s="43">
        <v>226200</v>
      </c>
      <c r="AD4" s="43">
        <v>226200</v>
      </c>
      <c r="AE4" s="43">
        <v>226200</v>
      </c>
      <c r="AF4" s="43">
        <v>226200</v>
      </c>
      <c r="AG4" s="43">
        <v>454200</v>
      </c>
      <c r="AH4" s="43"/>
      <c r="AI4" s="43"/>
      <c r="AJ4" s="43"/>
    </row>
    <row r="5" spans="1:36">
      <c r="A5" s="44" t="s">
        <v>4</v>
      </c>
      <c r="B5" s="40" t="s">
        <v>2</v>
      </c>
      <c r="C5" s="43"/>
      <c r="D5" s="43"/>
      <c r="E5" s="43"/>
      <c r="F5" s="43"/>
      <c r="G5" s="43">
        <v>42067</v>
      </c>
      <c r="H5" s="43">
        <v>42067</v>
      </c>
      <c r="I5" s="43">
        <v>42067</v>
      </c>
      <c r="J5" s="43">
        <v>42067</v>
      </c>
      <c r="K5" s="42"/>
      <c r="L5" s="43">
        <v>42067</v>
      </c>
      <c r="M5" s="43">
        <v>42067</v>
      </c>
      <c r="N5" s="43">
        <v>42067</v>
      </c>
      <c r="O5" s="43">
        <v>42067</v>
      </c>
      <c r="P5" s="43">
        <v>42067</v>
      </c>
      <c r="Q5" s="43">
        <v>42067</v>
      </c>
      <c r="R5" s="43">
        <v>42067</v>
      </c>
      <c r="S5" s="43">
        <v>42067</v>
      </c>
      <c r="T5" s="43">
        <v>42067</v>
      </c>
      <c r="U5" s="43">
        <v>42067</v>
      </c>
      <c r="V5" s="43">
        <v>42067</v>
      </c>
      <c r="W5" s="43">
        <v>42068</v>
      </c>
      <c r="X5" s="42"/>
      <c r="Y5" s="43">
        <v>42067</v>
      </c>
      <c r="Z5" s="43">
        <v>42067</v>
      </c>
      <c r="AA5" s="43">
        <v>42067</v>
      </c>
      <c r="AB5" s="43">
        <v>42067</v>
      </c>
      <c r="AC5" s="43">
        <v>42067</v>
      </c>
      <c r="AD5" s="43">
        <v>42067</v>
      </c>
      <c r="AE5" s="43">
        <v>42067</v>
      </c>
      <c r="AF5" s="43">
        <v>42067</v>
      </c>
      <c r="AG5" s="43">
        <v>42067</v>
      </c>
      <c r="AH5" s="43">
        <v>42067</v>
      </c>
      <c r="AI5" s="43">
        <v>42067</v>
      </c>
      <c r="AJ5" s="43">
        <v>42068</v>
      </c>
    </row>
    <row r="6" spans="1:36">
      <c r="A6" s="44" t="s">
        <v>5</v>
      </c>
      <c r="B6" s="40" t="s">
        <v>2</v>
      </c>
      <c r="C6" s="43">
        <v>22945705</v>
      </c>
      <c r="D6" s="43"/>
      <c r="E6" s="43"/>
      <c r="F6" s="43"/>
      <c r="G6" s="43">
        <f>SUM(C6-G5)</f>
        <v>22903638</v>
      </c>
      <c r="H6" s="43">
        <f t="shared" ref="H6:J6" si="0">SUM(G6-H5)</f>
        <v>22861571</v>
      </c>
      <c r="I6" s="43">
        <f t="shared" si="0"/>
        <v>22819504</v>
      </c>
      <c r="J6" s="43">
        <f t="shared" si="0"/>
        <v>22777437</v>
      </c>
      <c r="K6" s="42"/>
      <c r="L6" s="43">
        <f>SUM(J6-L5)</f>
        <v>22735370</v>
      </c>
      <c r="M6" s="43">
        <f t="shared" ref="M6:W6" si="1">SUM(L6-M5)</f>
        <v>22693303</v>
      </c>
      <c r="N6" s="43">
        <f t="shared" si="1"/>
        <v>22651236</v>
      </c>
      <c r="O6" s="43">
        <f t="shared" si="1"/>
        <v>22609169</v>
      </c>
      <c r="P6" s="43">
        <f t="shared" si="1"/>
        <v>22567102</v>
      </c>
      <c r="Q6" s="43">
        <f t="shared" si="1"/>
        <v>22525035</v>
      </c>
      <c r="R6" s="43">
        <f t="shared" si="1"/>
        <v>22482968</v>
      </c>
      <c r="S6" s="43">
        <f t="shared" si="1"/>
        <v>22440901</v>
      </c>
      <c r="T6" s="43">
        <f t="shared" si="1"/>
        <v>22398834</v>
      </c>
      <c r="U6" s="43">
        <f t="shared" si="1"/>
        <v>22356767</v>
      </c>
      <c r="V6" s="43">
        <f t="shared" si="1"/>
        <v>22314700</v>
      </c>
      <c r="W6" s="43">
        <f t="shared" si="1"/>
        <v>22272632</v>
      </c>
      <c r="X6" s="42"/>
      <c r="Y6" s="43">
        <f>SUM(W6-Y5)</f>
        <v>22230565</v>
      </c>
      <c r="Z6" s="43">
        <f t="shared" ref="Z6" si="2">SUM(Y6-Z5)</f>
        <v>22188498</v>
      </c>
      <c r="AA6" s="43">
        <f t="shared" ref="AA6" si="3">SUM(Z6-AA5)</f>
        <v>22146431</v>
      </c>
      <c r="AB6" s="43">
        <f t="shared" ref="AB6" si="4">SUM(AA6-AB5)</f>
        <v>22104364</v>
      </c>
      <c r="AC6" s="43">
        <f t="shared" ref="AC6" si="5">SUM(AB6-AC5)</f>
        <v>22062297</v>
      </c>
      <c r="AD6" s="43">
        <f t="shared" ref="AD6" si="6">SUM(AC6-AD5)</f>
        <v>22020230</v>
      </c>
      <c r="AE6" s="43">
        <f t="shared" ref="AE6" si="7">SUM(AD6-AE5)</f>
        <v>21978163</v>
      </c>
      <c r="AF6" s="43">
        <f t="shared" ref="AF6" si="8">SUM(AE6-AF5)</f>
        <v>21936096</v>
      </c>
      <c r="AG6" s="43">
        <f t="shared" ref="AG6" si="9">SUM(AF6-AG5)</f>
        <v>21894029</v>
      </c>
      <c r="AH6" s="43">
        <f t="shared" ref="AH6" si="10">SUM(AG6-AH5)</f>
        <v>21851962</v>
      </c>
      <c r="AI6" s="43">
        <f t="shared" ref="AI6" si="11">SUM(AH6-AI5)</f>
        <v>21809895</v>
      </c>
      <c r="AJ6" s="43">
        <f t="shared" ref="AJ6" si="12">SUM(AI6-AJ5)</f>
        <v>21767827</v>
      </c>
    </row>
    <row r="7" spans="1:36">
      <c r="A7" s="44" t="s">
        <v>16</v>
      </c>
      <c r="B7" s="40" t="s">
        <v>2</v>
      </c>
      <c r="C7" s="43"/>
      <c r="D7" s="42"/>
      <c r="E7" s="42"/>
      <c r="F7" s="42"/>
      <c r="G7" s="43">
        <v>0</v>
      </c>
      <c r="H7" s="43">
        <v>21770</v>
      </c>
      <c r="I7" s="43">
        <v>21770</v>
      </c>
      <c r="J7" s="43">
        <v>21770</v>
      </c>
      <c r="K7" s="42"/>
      <c r="L7" s="43">
        <v>21770</v>
      </c>
      <c r="M7" s="43">
        <v>21770</v>
      </c>
      <c r="N7" s="43">
        <v>21770</v>
      </c>
      <c r="O7" s="43">
        <v>21770</v>
      </c>
      <c r="P7" s="43">
        <v>21770</v>
      </c>
      <c r="Q7" s="43">
        <v>21770</v>
      </c>
      <c r="R7" s="43">
        <v>21770</v>
      </c>
      <c r="S7" s="43">
        <v>21770</v>
      </c>
      <c r="T7" s="43">
        <v>21770</v>
      </c>
      <c r="U7" s="43">
        <v>21770</v>
      </c>
      <c r="V7" s="43">
        <v>21770</v>
      </c>
      <c r="W7" s="43">
        <v>21770</v>
      </c>
      <c r="X7" s="42"/>
      <c r="Y7" s="43">
        <v>21770</v>
      </c>
      <c r="Z7" s="43">
        <v>21770</v>
      </c>
      <c r="AA7" s="43">
        <v>21770</v>
      </c>
      <c r="AB7" s="43">
        <v>21770</v>
      </c>
      <c r="AC7" s="43">
        <v>21770</v>
      </c>
      <c r="AD7" s="43">
        <v>21770</v>
      </c>
      <c r="AE7" s="43">
        <v>21770</v>
      </c>
      <c r="AF7" s="43">
        <v>21770</v>
      </c>
      <c r="AG7" s="43">
        <v>21770</v>
      </c>
      <c r="AH7" s="43">
        <v>21770</v>
      </c>
      <c r="AI7" s="43">
        <v>21770</v>
      </c>
      <c r="AJ7" s="43">
        <v>21770</v>
      </c>
    </row>
    <row r="8" spans="1:36">
      <c r="A8" s="44" t="s">
        <v>7</v>
      </c>
      <c r="B8" s="40" t="s">
        <v>2</v>
      </c>
      <c r="C8" s="43"/>
      <c r="D8" s="42"/>
      <c r="E8" s="42"/>
      <c r="F8" s="42"/>
      <c r="G8" s="42">
        <v>0</v>
      </c>
      <c r="H8" s="42">
        <v>0</v>
      </c>
      <c r="I8" s="42">
        <v>0</v>
      </c>
      <c r="J8" s="42"/>
      <c r="K8" s="42"/>
      <c r="L8" s="43">
        <v>6904</v>
      </c>
      <c r="M8" s="42">
        <v>4976</v>
      </c>
      <c r="N8" s="42">
        <v>4975</v>
      </c>
      <c r="O8" s="42">
        <v>4975</v>
      </c>
      <c r="P8" s="42">
        <v>4976</v>
      </c>
      <c r="Q8" s="42">
        <v>4975</v>
      </c>
      <c r="R8" s="42">
        <v>4976</v>
      </c>
      <c r="S8" s="42">
        <v>4976</v>
      </c>
      <c r="T8" s="42">
        <v>4976</v>
      </c>
      <c r="U8" s="42">
        <v>4976</v>
      </c>
      <c r="V8" s="42">
        <v>4976</v>
      </c>
      <c r="W8" s="42">
        <v>4976</v>
      </c>
      <c r="X8" s="42"/>
      <c r="Y8" s="42">
        <v>4976</v>
      </c>
      <c r="Z8" s="43">
        <v>4976</v>
      </c>
      <c r="AA8" s="43">
        <v>4976</v>
      </c>
      <c r="AB8" s="43">
        <v>4976</v>
      </c>
      <c r="AC8" s="43">
        <v>4976</v>
      </c>
      <c r="AD8" s="43">
        <v>4976</v>
      </c>
      <c r="AE8" s="42">
        <v>4976</v>
      </c>
      <c r="AF8" s="42">
        <v>4976</v>
      </c>
      <c r="AG8" s="42">
        <v>4976</v>
      </c>
      <c r="AH8" s="42"/>
      <c r="AI8" s="42"/>
      <c r="AJ8" s="42"/>
    </row>
    <row r="9" spans="1:36">
      <c r="A9" s="44" t="s">
        <v>8</v>
      </c>
      <c r="B9" s="40" t="s">
        <v>2</v>
      </c>
      <c r="C9" s="43">
        <v>721000</v>
      </c>
      <c r="D9" s="42">
        <v>0</v>
      </c>
      <c r="E9" s="42">
        <v>0</v>
      </c>
      <c r="F9" s="42">
        <v>0</v>
      </c>
      <c r="G9" s="43">
        <v>216000</v>
      </c>
      <c r="H9" s="43">
        <v>162800</v>
      </c>
      <c r="I9" s="43">
        <v>0</v>
      </c>
      <c r="J9" s="42">
        <v>237600</v>
      </c>
      <c r="K9" s="42"/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89648</v>
      </c>
      <c r="V9" s="42">
        <v>0</v>
      </c>
      <c r="W9" s="42">
        <v>0</v>
      </c>
      <c r="X9" s="42"/>
      <c r="Y9" s="42">
        <v>0</v>
      </c>
      <c r="Z9" s="42">
        <v>0</v>
      </c>
      <c r="AA9" s="42"/>
      <c r="AB9" s="42"/>
      <c r="AC9" s="42"/>
      <c r="AD9" s="42"/>
      <c r="AE9" s="42"/>
      <c r="AF9" s="42"/>
      <c r="AG9" s="42"/>
      <c r="AH9" s="42"/>
      <c r="AI9" s="42"/>
      <c r="AJ9" s="42"/>
    </row>
    <row r="10" spans="1:36">
      <c r="A10" s="44" t="s">
        <v>9</v>
      </c>
      <c r="B10" s="40" t="s">
        <v>2</v>
      </c>
      <c r="C10" s="45"/>
      <c r="D10" s="46"/>
      <c r="E10" s="46"/>
      <c r="F10" s="46"/>
      <c r="G10" s="45"/>
      <c r="H10" s="45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</row>
    <row r="11" spans="1:36">
      <c r="A11" s="44" t="s">
        <v>10</v>
      </c>
      <c r="B11" s="40" t="s">
        <v>2</v>
      </c>
      <c r="C11" s="47"/>
      <c r="D11" s="48"/>
      <c r="E11" s="48"/>
      <c r="F11" s="48"/>
      <c r="G11" s="47"/>
      <c r="H11" s="47"/>
      <c r="I11" s="47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</row>
    <row r="12" spans="1:36">
      <c r="A12" s="44" t="s">
        <v>11</v>
      </c>
      <c r="B12" s="40" t="s">
        <v>2</v>
      </c>
      <c r="C12" s="47"/>
      <c r="D12" s="48"/>
      <c r="E12" s="48"/>
      <c r="F12" s="48"/>
      <c r="G12" s="47"/>
      <c r="H12" s="47"/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</row>
    <row r="13" spans="1:36">
      <c r="A13" s="44" t="s">
        <v>12</v>
      </c>
      <c r="B13" s="40" t="s">
        <v>2</v>
      </c>
      <c r="C13" s="47"/>
      <c r="D13" s="49">
        <f>SUM(D4-D7-D8-D9)</f>
        <v>0</v>
      </c>
      <c r="E13" s="49">
        <f t="shared" ref="E13:J13" si="13">SUM(E4-E7-E8-E9)</f>
        <v>0</v>
      </c>
      <c r="F13" s="49">
        <f t="shared" si="13"/>
        <v>0</v>
      </c>
      <c r="G13" s="49">
        <f t="shared" si="13"/>
        <v>-216000</v>
      </c>
      <c r="H13" s="49">
        <f t="shared" si="13"/>
        <v>-184570</v>
      </c>
      <c r="I13" s="49">
        <f t="shared" si="13"/>
        <v>-21770</v>
      </c>
      <c r="J13" s="49">
        <f t="shared" si="13"/>
        <v>260312</v>
      </c>
      <c r="K13" s="49"/>
      <c r="L13" s="49">
        <f>SUM(L4-L7-L8-L9)</f>
        <v>197526</v>
      </c>
      <c r="M13" s="49">
        <f t="shared" ref="M13:W13" si="14">SUM(M4-M7-M8-M9)</f>
        <v>199454</v>
      </c>
      <c r="N13" s="49">
        <f t="shared" si="14"/>
        <v>199455</v>
      </c>
      <c r="O13" s="49">
        <f t="shared" si="14"/>
        <v>199455</v>
      </c>
      <c r="P13" s="49">
        <f t="shared" si="14"/>
        <v>199454</v>
      </c>
      <c r="Q13" s="49">
        <f t="shared" si="14"/>
        <v>199455</v>
      </c>
      <c r="R13" s="49">
        <f t="shared" si="14"/>
        <v>199454</v>
      </c>
      <c r="S13" s="49">
        <f t="shared" si="14"/>
        <v>199454</v>
      </c>
      <c r="T13" s="49">
        <f t="shared" si="14"/>
        <v>199454</v>
      </c>
      <c r="U13" s="49">
        <f t="shared" si="14"/>
        <v>109806</v>
      </c>
      <c r="V13" s="49">
        <f t="shared" si="14"/>
        <v>199454</v>
      </c>
      <c r="W13" s="49">
        <f t="shared" si="14"/>
        <v>199454</v>
      </c>
      <c r="X13" s="49"/>
      <c r="Y13" s="49">
        <f>SUM(Y4-Y7-Y8-Y9)</f>
        <v>199454</v>
      </c>
      <c r="Z13" s="49">
        <f t="shared" ref="Z13:AJ13" si="15">SUM(Z4-Z7-Z8-Z9)</f>
        <v>199454</v>
      </c>
      <c r="AA13" s="49">
        <f t="shared" si="15"/>
        <v>199454</v>
      </c>
      <c r="AB13" s="49">
        <f t="shared" si="15"/>
        <v>199454</v>
      </c>
      <c r="AC13" s="49">
        <f t="shared" si="15"/>
        <v>199454</v>
      </c>
      <c r="AD13" s="49">
        <f t="shared" si="15"/>
        <v>199454</v>
      </c>
      <c r="AE13" s="49">
        <f t="shared" si="15"/>
        <v>199454</v>
      </c>
      <c r="AF13" s="49">
        <f t="shared" si="15"/>
        <v>199454</v>
      </c>
      <c r="AG13" s="49">
        <f t="shared" si="15"/>
        <v>427454</v>
      </c>
      <c r="AH13" s="49">
        <f t="shared" si="15"/>
        <v>-21770</v>
      </c>
      <c r="AI13" s="49">
        <f t="shared" si="15"/>
        <v>-21770</v>
      </c>
      <c r="AJ13" s="49">
        <f t="shared" si="15"/>
        <v>-21770</v>
      </c>
    </row>
    <row r="14" spans="1:36">
      <c r="A14" s="44" t="s">
        <v>13</v>
      </c>
      <c r="B14" s="40" t="s">
        <v>2</v>
      </c>
      <c r="C14" s="47"/>
      <c r="D14" s="48"/>
      <c r="E14" s="48"/>
      <c r="F14" s="48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</row>
    <row r="15" spans="1:36">
      <c r="A15" s="69" t="s">
        <v>64</v>
      </c>
      <c r="J15" t="s">
        <v>57</v>
      </c>
      <c r="V15" t="s">
        <v>65</v>
      </c>
      <c r="AF15" t="s">
        <v>66</v>
      </c>
      <c r="AG15" t="s">
        <v>67</v>
      </c>
    </row>
    <row r="16" spans="1:36">
      <c r="J16" t="s">
        <v>68</v>
      </c>
      <c r="W16" s="89">
        <v>21770</v>
      </c>
    </row>
  </sheetData>
  <phoneticPr fontId="2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0CDFA-22D2-448B-ACF6-DA36FD81758C}">
  <dimension ref="A1:AJ98"/>
  <sheetViews>
    <sheetView zoomScale="85" zoomScaleNormal="85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G8" sqref="AG8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39" t="s">
        <v>69</v>
      </c>
      <c r="B2" s="40"/>
      <c r="C2" s="41">
        <v>45387</v>
      </c>
      <c r="D2" s="42"/>
      <c r="E2" s="42"/>
      <c r="F2" s="42"/>
      <c r="G2" s="43"/>
      <c r="H2" s="43"/>
      <c r="I2" s="43"/>
      <c r="J2" s="43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spans="1:36">
      <c r="A3" s="44" t="s">
        <v>1</v>
      </c>
      <c r="B3" s="40" t="s">
        <v>2</v>
      </c>
      <c r="C3" s="43">
        <v>45980000</v>
      </c>
      <c r="D3" s="42"/>
      <c r="E3" s="42"/>
      <c r="F3" s="42"/>
      <c r="G3" s="43"/>
      <c r="H3" s="43"/>
      <c r="I3" s="43"/>
      <c r="J3" s="43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</row>
    <row r="4" spans="1:36">
      <c r="A4" s="44" t="s">
        <v>15</v>
      </c>
      <c r="B4" s="40" t="s">
        <v>2</v>
      </c>
      <c r="C4" s="43">
        <v>184000</v>
      </c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251482</v>
      </c>
      <c r="K4" s="43"/>
      <c r="L4" s="43">
        <v>193000</v>
      </c>
      <c r="M4" s="43">
        <v>193000</v>
      </c>
      <c r="N4" s="43">
        <v>193000</v>
      </c>
      <c r="O4" s="43">
        <v>193000</v>
      </c>
      <c r="P4" s="43">
        <v>193000</v>
      </c>
      <c r="Q4" s="43">
        <v>193000</v>
      </c>
      <c r="R4" s="43">
        <v>193000</v>
      </c>
      <c r="S4" s="43">
        <v>193000</v>
      </c>
      <c r="T4" s="43">
        <v>193000</v>
      </c>
      <c r="U4" s="43">
        <v>193000</v>
      </c>
      <c r="V4" s="43">
        <v>193000</v>
      </c>
      <c r="W4" s="43">
        <v>193000</v>
      </c>
      <c r="X4" s="43"/>
      <c r="Y4" s="43">
        <v>193000</v>
      </c>
      <c r="Z4" s="43">
        <v>193000</v>
      </c>
      <c r="AA4" s="43">
        <v>193000</v>
      </c>
      <c r="AB4" s="43">
        <v>193000</v>
      </c>
      <c r="AC4" s="43">
        <v>193000</v>
      </c>
      <c r="AD4" s="43">
        <v>193000</v>
      </c>
      <c r="AE4" s="43">
        <v>193000</v>
      </c>
      <c r="AF4" s="43">
        <v>193000</v>
      </c>
      <c r="AG4" s="43">
        <v>193000</v>
      </c>
      <c r="AH4" s="43"/>
      <c r="AI4" s="43"/>
      <c r="AJ4" s="43"/>
    </row>
    <row r="5" spans="1:36">
      <c r="A5" s="44" t="s">
        <v>4</v>
      </c>
      <c r="B5" s="40" t="s">
        <v>2</v>
      </c>
      <c r="C5" s="43"/>
      <c r="D5" s="43"/>
      <c r="E5" s="43"/>
      <c r="F5" s="43"/>
      <c r="G5" s="43">
        <v>32603</v>
      </c>
      <c r="H5" s="43">
        <v>32603</v>
      </c>
      <c r="I5" s="43">
        <v>32603</v>
      </c>
      <c r="J5" s="43">
        <v>32606</v>
      </c>
      <c r="K5" s="42"/>
      <c r="L5" s="43">
        <v>32603</v>
      </c>
      <c r="M5" s="43">
        <v>32603</v>
      </c>
      <c r="N5" s="43">
        <v>32603</v>
      </c>
      <c r="O5" s="43">
        <v>32603</v>
      </c>
      <c r="P5" s="43">
        <v>32603</v>
      </c>
      <c r="Q5" s="43">
        <v>32607</v>
      </c>
      <c r="R5" s="43">
        <v>32603</v>
      </c>
      <c r="S5" s="43">
        <v>32603</v>
      </c>
      <c r="T5" s="43">
        <v>32603</v>
      </c>
      <c r="U5" s="43">
        <v>32603</v>
      </c>
      <c r="V5" s="43">
        <v>32603</v>
      </c>
      <c r="W5" s="43">
        <v>32608</v>
      </c>
      <c r="X5" s="42"/>
      <c r="Y5" s="43">
        <v>32603</v>
      </c>
      <c r="Z5" s="43">
        <v>32603</v>
      </c>
      <c r="AA5" s="43">
        <v>32603</v>
      </c>
      <c r="AB5" s="43">
        <v>32603</v>
      </c>
      <c r="AC5" s="43">
        <v>32603</v>
      </c>
      <c r="AD5" s="43">
        <v>32607</v>
      </c>
      <c r="AE5" s="43">
        <v>32603</v>
      </c>
      <c r="AF5" s="43">
        <v>32603</v>
      </c>
      <c r="AG5" s="43">
        <v>32603</v>
      </c>
      <c r="AH5" s="43">
        <v>32603</v>
      </c>
      <c r="AI5" s="43">
        <v>32603</v>
      </c>
      <c r="AJ5" s="43">
        <v>32608</v>
      </c>
    </row>
    <row r="6" spans="1:36">
      <c r="A6" s="44" t="s">
        <v>5</v>
      </c>
      <c r="B6" s="40" t="s">
        <v>2</v>
      </c>
      <c r="C6" s="43">
        <v>17783887</v>
      </c>
      <c r="D6" s="43"/>
      <c r="E6" s="43"/>
      <c r="F6" s="43"/>
      <c r="G6" s="43">
        <f>SUM(C6-G5)</f>
        <v>17751284</v>
      </c>
      <c r="H6" s="43">
        <f t="shared" ref="H6:J6" si="0">SUM(G6-H5)</f>
        <v>17718681</v>
      </c>
      <c r="I6" s="43">
        <f t="shared" si="0"/>
        <v>17686078</v>
      </c>
      <c r="J6" s="43">
        <f t="shared" si="0"/>
        <v>17653472</v>
      </c>
      <c r="K6" s="42"/>
      <c r="L6" s="43">
        <f>SUM(J6-L5)</f>
        <v>17620869</v>
      </c>
      <c r="M6" s="43">
        <f t="shared" ref="M6:W6" si="1">SUM(L6-M5)</f>
        <v>17588266</v>
      </c>
      <c r="N6" s="43">
        <f t="shared" si="1"/>
        <v>17555663</v>
      </c>
      <c r="O6" s="43">
        <f t="shared" si="1"/>
        <v>17523060</v>
      </c>
      <c r="P6" s="43">
        <f t="shared" si="1"/>
        <v>17490457</v>
      </c>
      <c r="Q6" s="43">
        <f t="shared" si="1"/>
        <v>17457850</v>
      </c>
      <c r="R6" s="43">
        <f t="shared" si="1"/>
        <v>17425247</v>
      </c>
      <c r="S6" s="43">
        <f t="shared" si="1"/>
        <v>17392644</v>
      </c>
      <c r="T6" s="43">
        <f t="shared" si="1"/>
        <v>17360041</v>
      </c>
      <c r="U6" s="43">
        <f t="shared" si="1"/>
        <v>17327438</v>
      </c>
      <c r="V6" s="43">
        <f t="shared" si="1"/>
        <v>17294835</v>
      </c>
      <c r="W6" s="43">
        <f t="shared" si="1"/>
        <v>17262227</v>
      </c>
      <c r="X6" s="42"/>
      <c r="Y6" s="43">
        <f>SUM(W6-Y5)</f>
        <v>17229624</v>
      </c>
      <c r="Z6" s="43">
        <f t="shared" ref="Z6" si="2">SUM(Y6-Z5)</f>
        <v>17197021</v>
      </c>
      <c r="AA6" s="43">
        <f t="shared" ref="AA6" si="3">SUM(Z6-AA5)</f>
        <v>17164418</v>
      </c>
      <c r="AB6" s="43">
        <f t="shared" ref="AB6" si="4">SUM(AA6-AB5)</f>
        <v>17131815</v>
      </c>
      <c r="AC6" s="43">
        <f t="shared" ref="AC6" si="5">SUM(AB6-AC5)</f>
        <v>17099212</v>
      </c>
      <c r="AD6" s="43">
        <f t="shared" ref="AD6" si="6">SUM(AC6-AD5)</f>
        <v>17066605</v>
      </c>
      <c r="AE6" s="43">
        <f t="shared" ref="AE6" si="7">SUM(AD6-AE5)</f>
        <v>17034002</v>
      </c>
      <c r="AF6" s="43">
        <f t="shared" ref="AF6" si="8">SUM(AE6-AF5)</f>
        <v>17001399</v>
      </c>
      <c r="AG6" s="43">
        <f t="shared" ref="AG6" si="9">SUM(AF6-AG5)</f>
        <v>16968796</v>
      </c>
      <c r="AH6" s="43">
        <f t="shared" ref="AH6" si="10">SUM(AG6-AH5)</f>
        <v>16936193</v>
      </c>
      <c r="AI6" s="43">
        <f t="shared" ref="AI6" si="11">SUM(AH6-AI5)</f>
        <v>16903590</v>
      </c>
      <c r="AJ6" s="43">
        <f t="shared" ref="AJ6" si="12">SUM(AI6-AJ5)</f>
        <v>16870982</v>
      </c>
    </row>
    <row r="7" spans="1:36">
      <c r="A7" s="44" t="s">
        <v>16</v>
      </c>
      <c r="B7" s="40" t="s">
        <v>2</v>
      </c>
      <c r="C7" s="43">
        <v>27020</v>
      </c>
      <c r="D7" s="42"/>
      <c r="E7" s="42"/>
      <c r="F7" s="42"/>
      <c r="G7" s="43">
        <v>0</v>
      </c>
      <c r="H7" s="43">
        <v>27020</v>
      </c>
      <c r="I7" s="43">
        <v>27020</v>
      </c>
      <c r="J7" s="43">
        <v>27020</v>
      </c>
      <c r="K7" s="42"/>
      <c r="L7" s="43">
        <v>27020</v>
      </c>
      <c r="M7" s="43">
        <v>27020</v>
      </c>
      <c r="N7" s="43">
        <v>27020</v>
      </c>
      <c r="O7" s="43">
        <v>27020</v>
      </c>
      <c r="P7" s="43">
        <v>27020</v>
      </c>
      <c r="Q7" s="43">
        <v>27020</v>
      </c>
      <c r="R7" s="43">
        <v>27020</v>
      </c>
      <c r="S7" s="43">
        <v>27020</v>
      </c>
      <c r="T7" s="43">
        <v>27020</v>
      </c>
      <c r="U7" s="43">
        <v>27020</v>
      </c>
      <c r="V7" s="43">
        <v>27020</v>
      </c>
      <c r="W7" s="43">
        <v>27020</v>
      </c>
      <c r="X7" s="42"/>
      <c r="Y7" s="43">
        <v>27020</v>
      </c>
      <c r="Z7" s="43">
        <v>27020</v>
      </c>
      <c r="AA7" s="43">
        <v>27020</v>
      </c>
      <c r="AB7" s="43">
        <v>27020</v>
      </c>
      <c r="AC7" s="43">
        <v>27020</v>
      </c>
      <c r="AD7" s="43">
        <v>27020</v>
      </c>
      <c r="AE7" s="43">
        <v>27020</v>
      </c>
      <c r="AF7" s="43">
        <v>27020</v>
      </c>
      <c r="AG7" s="43">
        <v>27020</v>
      </c>
      <c r="AH7" s="43">
        <v>27020</v>
      </c>
      <c r="AI7" s="43">
        <v>27020</v>
      </c>
      <c r="AJ7" s="43">
        <v>27020</v>
      </c>
    </row>
    <row r="8" spans="1:36">
      <c r="A8" s="44" t="s">
        <v>7</v>
      </c>
      <c r="B8" s="40" t="s">
        <v>2</v>
      </c>
      <c r="C8" s="43"/>
      <c r="D8" s="42"/>
      <c r="E8" s="42"/>
      <c r="F8" s="42"/>
      <c r="G8" s="42">
        <v>0</v>
      </c>
      <c r="H8" s="42">
        <v>0</v>
      </c>
      <c r="I8" s="42">
        <v>0</v>
      </c>
      <c r="J8" s="42">
        <v>1499</v>
      </c>
      <c r="K8" s="42"/>
      <c r="L8" s="43">
        <v>4228</v>
      </c>
      <c r="M8" s="42">
        <v>4227</v>
      </c>
      <c r="N8" s="42">
        <v>4228</v>
      </c>
      <c r="O8" s="42">
        <v>4228</v>
      </c>
      <c r="P8" s="42">
        <v>4227</v>
      </c>
      <c r="Q8" s="42">
        <v>4228</v>
      </c>
      <c r="R8" s="42">
        <v>4228</v>
      </c>
      <c r="S8" s="42">
        <v>4228</v>
      </c>
      <c r="T8" s="42">
        <v>4228</v>
      </c>
      <c r="U8" s="42">
        <v>4228</v>
      </c>
      <c r="V8" s="42">
        <v>4228</v>
      </c>
      <c r="W8" s="42">
        <v>4228</v>
      </c>
      <c r="X8" s="42"/>
      <c r="Y8" s="42">
        <v>4228</v>
      </c>
      <c r="Z8" s="42">
        <v>4228</v>
      </c>
      <c r="AA8" s="42">
        <v>4228</v>
      </c>
      <c r="AB8" s="42">
        <v>4228</v>
      </c>
      <c r="AC8" s="42">
        <v>4228</v>
      </c>
      <c r="AD8" s="42">
        <v>4228</v>
      </c>
      <c r="AE8" s="42">
        <v>4228</v>
      </c>
      <c r="AF8" s="42">
        <v>4228</v>
      </c>
      <c r="AG8" s="42">
        <v>4228</v>
      </c>
      <c r="AH8" s="42"/>
      <c r="AI8" s="42"/>
      <c r="AJ8" s="42"/>
    </row>
    <row r="9" spans="1:36">
      <c r="A9" s="44" t="s">
        <v>8</v>
      </c>
      <c r="B9" s="40" t="s">
        <v>2</v>
      </c>
      <c r="C9" s="43">
        <v>608000</v>
      </c>
      <c r="D9" s="42">
        <v>0</v>
      </c>
      <c r="E9" s="42">
        <v>0</v>
      </c>
      <c r="F9" s="42">
        <v>0</v>
      </c>
      <c r="G9" s="43">
        <v>206000</v>
      </c>
      <c r="H9" s="43">
        <v>162800</v>
      </c>
      <c r="I9" s="43">
        <v>0</v>
      </c>
      <c r="J9" s="42">
        <v>191400</v>
      </c>
      <c r="K9" s="42"/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72393</v>
      </c>
      <c r="V9" s="42">
        <v>0</v>
      </c>
      <c r="W9" s="42">
        <v>0</v>
      </c>
      <c r="X9" s="42"/>
      <c r="Y9" s="42">
        <v>0</v>
      </c>
      <c r="Z9" s="42">
        <v>0</v>
      </c>
      <c r="AA9" s="42"/>
      <c r="AB9" s="42"/>
      <c r="AC9" s="42"/>
      <c r="AD9" s="42"/>
      <c r="AE9" s="42"/>
      <c r="AF9" s="42"/>
      <c r="AG9" s="42"/>
      <c r="AH9" s="42"/>
      <c r="AI9" s="42"/>
      <c r="AJ9" s="42"/>
    </row>
    <row r="10" spans="1:36">
      <c r="A10" s="44" t="s">
        <v>9</v>
      </c>
      <c r="B10" s="40" t="s">
        <v>2</v>
      </c>
      <c r="C10" s="45"/>
      <c r="D10" s="46"/>
      <c r="E10" s="46"/>
      <c r="F10" s="46"/>
      <c r="G10" s="45"/>
      <c r="H10" s="45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</row>
    <row r="11" spans="1:36">
      <c r="A11" s="44" t="s">
        <v>10</v>
      </c>
      <c r="B11" s="40" t="s">
        <v>2</v>
      </c>
      <c r="C11" s="47"/>
      <c r="D11" s="48"/>
      <c r="E11" s="48"/>
      <c r="F11" s="48"/>
      <c r="G11" s="47"/>
      <c r="H11" s="47"/>
      <c r="I11" s="47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</row>
    <row r="12" spans="1:36">
      <c r="A12" s="44" t="s">
        <v>11</v>
      </c>
      <c r="B12" s="40" t="s">
        <v>2</v>
      </c>
      <c r="C12" s="47"/>
      <c r="D12" s="48"/>
      <c r="E12" s="48"/>
      <c r="F12" s="48"/>
      <c r="G12" s="47"/>
      <c r="H12" s="47"/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</row>
    <row r="13" spans="1:36">
      <c r="A13" s="44" t="s">
        <v>12</v>
      </c>
      <c r="B13" s="40" t="s">
        <v>2</v>
      </c>
      <c r="C13" s="47"/>
      <c r="D13" s="49">
        <f>SUM(D4-D7-D8-D9)</f>
        <v>0</v>
      </c>
      <c r="E13" s="49">
        <f t="shared" ref="E13:J13" si="13">SUM(E4-E7-E8-E9)</f>
        <v>0</v>
      </c>
      <c r="F13" s="49">
        <f t="shared" si="13"/>
        <v>0</v>
      </c>
      <c r="G13" s="49">
        <f t="shared" si="13"/>
        <v>-206000</v>
      </c>
      <c r="H13" s="49">
        <f t="shared" si="13"/>
        <v>-189820</v>
      </c>
      <c r="I13" s="49">
        <f t="shared" si="13"/>
        <v>-27020</v>
      </c>
      <c r="J13" s="49">
        <f t="shared" si="13"/>
        <v>31563</v>
      </c>
      <c r="K13" s="49"/>
      <c r="L13" s="49">
        <f>SUM(L4-L7-L8-L9)</f>
        <v>161752</v>
      </c>
      <c r="M13" s="49">
        <f t="shared" ref="M13:W13" si="14">SUM(M4-M7-M8-M9)</f>
        <v>161753</v>
      </c>
      <c r="N13" s="49">
        <f t="shared" si="14"/>
        <v>161752</v>
      </c>
      <c r="O13" s="49">
        <f t="shared" si="14"/>
        <v>161752</v>
      </c>
      <c r="P13" s="49">
        <f t="shared" si="14"/>
        <v>161753</v>
      </c>
      <c r="Q13" s="49">
        <f t="shared" si="14"/>
        <v>161752</v>
      </c>
      <c r="R13" s="49">
        <f t="shared" si="14"/>
        <v>161752</v>
      </c>
      <c r="S13" s="49">
        <f t="shared" si="14"/>
        <v>161752</v>
      </c>
      <c r="T13" s="49">
        <f t="shared" si="14"/>
        <v>161752</v>
      </c>
      <c r="U13" s="49">
        <f t="shared" si="14"/>
        <v>89359</v>
      </c>
      <c r="V13" s="49">
        <f t="shared" si="14"/>
        <v>161752</v>
      </c>
      <c r="W13" s="49">
        <f t="shared" si="14"/>
        <v>161752</v>
      </c>
      <c r="X13" s="49"/>
      <c r="Y13" s="49">
        <f>SUM(Y4-Y7-Y8-Y9)</f>
        <v>161752</v>
      </c>
      <c r="Z13" s="49">
        <f t="shared" ref="Z13:AJ13" si="15">SUM(Z4-Z7-Z8-Z9)</f>
        <v>161752</v>
      </c>
      <c r="AA13" s="49">
        <f t="shared" si="15"/>
        <v>161752</v>
      </c>
      <c r="AB13" s="49">
        <f t="shared" si="15"/>
        <v>161752</v>
      </c>
      <c r="AC13" s="49">
        <f t="shared" si="15"/>
        <v>161752</v>
      </c>
      <c r="AD13" s="49">
        <f t="shared" si="15"/>
        <v>161752</v>
      </c>
      <c r="AE13" s="49">
        <f t="shared" si="15"/>
        <v>161752</v>
      </c>
      <c r="AF13" s="49">
        <f t="shared" si="15"/>
        <v>161752</v>
      </c>
      <c r="AG13" s="49">
        <f t="shared" si="15"/>
        <v>161752</v>
      </c>
      <c r="AH13" s="49">
        <f t="shared" si="15"/>
        <v>-27020</v>
      </c>
      <c r="AI13" s="49">
        <f t="shared" si="15"/>
        <v>-27020</v>
      </c>
      <c r="AJ13" s="49">
        <f t="shared" si="15"/>
        <v>-27020</v>
      </c>
    </row>
    <row r="14" spans="1:36">
      <c r="A14" s="44" t="s">
        <v>13</v>
      </c>
      <c r="B14" s="40" t="s">
        <v>2</v>
      </c>
      <c r="C14" s="47"/>
      <c r="D14" s="48"/>
      <c r="E14" s="48"/>
      <c r="F14" s="48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</row>
    <row r="15" spans="1:36" s="5" customFormat="1">
      <c r="A15" s="70" t="s">
        <v>70</v>
      </c>
      <c r="B15" s="36"/>
      <c r="C15" s="7"/>
      <c r="D15" s="2"/>
      <c r="E15" s="2"/>
      <c r="F15" s="2"/>
      <c r="G15" s="7"/>
      <c r="H15" s="7"/>
      <c r="I15" s="7"/>
      <c r="J15" s="88" t="s">
        <v>71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>
        <v>27020</v>
      </c>
    </row>
    <row r="16" spans="1:36" s="5" customFormat="1">
      <c r="A16" s="10"/>
      <c r="B16" s="36"/>
      <c r="C16" s="9"/>
      <c r="D16" s="4"/>
      <c r="E16" s="4"/>
      <c r="F16" s="4"/>
      <c r="G16" s="9"/>
      <c r="H16" s="9"/>
      <c r="I16" s="9"/>
      <c r="J16" s="9" t="s">
        <v>70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4" s="5" customFormat="1">
      <c r="A17" s="10"/>
      <c r="B17" s="36"/>
      <c r="C17" s="9"/>
      <c r="D17" s="4"/>
      <c r="E17" s="4"/>
      <c r="F17" s="4"/>
      <c r="G17" s="9"/>
      <c r="H17" s="9"/>
      <c r="I17" s="9"/>
      <c r="J17" s="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4" s="5" customFormat="1">
      <c r="A18" s="10"/>
      <c r="B18" s="36"/>
      <c r="C18" s="7"/>
      <c r="D18" s="2"/>
      <c r="E18" s="2"/>
      <c r="F18" s="2"/>
      <c r="G18" s="7"/>
      <c r="H18" s="7"/>
      <c r="I18" s="7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4" s="5" customFormat="1">
      <c r="A19" s="10"/>
      <c r="B19" s="36"/>
      <c r="C19" s="7"/>
      <c r="D19" s="2"/>
      <c r="E19" s="2"/>
      <c r="F19" s="2"/>
      <c r="G19" s="7"/>
      <c r="H19" s="7"/>
      <c r="I19" s="7"/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4" s="5" customFormat="1">
      <c r="A20" s="10"/>
      <c r="B20" s="36"/>
      <c r="C20" s="7"/>
      <c r="D20" s="2"/>
      <c r="E20" s="2"/>
      <c r="F20" s="2"/>
      <c r="G20" s="7"/>
      <c r="H20" s="7"/>
      <c r="I20" s="7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4" s="5" customFormat="1">
      <c r="A21" s="10"/>
      <c r="B21" s="36"/>
      <c r="C21" s="7"/>
      <c r="D21" s="2"/>
      <c r="E21" s="2"/>
      <c r="F21" s="2"/>
      <c r="G21" s="7"/>
      <c r="H21" s="7"/>
      <c r="I21" s="7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4" s="5" customFormat="1">
      <c r="A22" s="10"/>
      <c r="B22" s="36"/>
      <c r="C22" s="8"/>
      <c r="D22" s="3"/>
      <c r="E22" s="3"/>
      <c r="F22" s="3"/>
      <c r="G22" s="8"/>
      <c r="H22" s="8"/>
      <c r="I22" s="8"/>
      <c r="J22" s="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4" s="5" customFormat="1">
      <c r="A23" s="10"/>
      <c r="B23" s="36"/>
      <c r="C23" s="7"/>
      <c r="D23" s="2"/>
      <c r="E23" s="2"/>
      <c r="F23" s="2"/>
      <c r="G23" s="7"/>
      <c r="H23" s="7"/>
      <c r="I23" s="7"/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4" s="5" customFormat="1">
      <c r="A24" s="10"/>
      <c r="B24" s="36"/>
      <c r="C24" s="9"/>
      <c r="D24" s="4"/>
      <c r="E24" s="4"/>
      <c r="F24" s="4"/>
      <c r="G24" s="9"/>
      <c r="H24" s="9"/>
      <c r="I24" s="9"/>
      <c r="J24" s="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4" s="5" customFormat="1">
      <c r="A25" s="10"/>
      <c r="B25" s="36"/>
      <c r="C25" s="9"/>
      <c r="D25" s="4"/>
      <c r="E25" s="4"/>
      <c r="F25" s="4"/>
      <c r="G25" s="9"/>
      <c r="H25" s="9"/>
      <c r="I25" s="9"/>
      <c r="J25" s="9"/>
      <c r="K25" s="4"/>
      <c r="L25" s="4"/>
      <c r="M25" s="4"/>
      <c r="N25" s="4"/>
      <c r="O25" s="4"/>
      <c r="P25" s="4"/>
      <c r="R25" s="4"/>
      <c r="S25" s="4"/>
      <c r="T25" s="4"/>
      <c r="U25" s="4"/>
      <c r="V25" s="4"/>
      <c r="W25" s="4"/>
    </row>
    <row r="26" spans="1:24" s="5" customFormat="1">
      <c r="A26" s="10"/>
      <c r="B26" s="36"/>
      <c r="C26" s="7"/>
      <c r="D26" s="2"/>
      <c r="E26" s="2"/>
      <c r="F26" s="2"/>
      <c r="G26" s="7"/>
      <c r="H26" s="7"/>
      <c r="I26" s="7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4" s="5" customFormat="1">
      <c r="A27" s="10"/>
      <c r="B27" s="36"/>
      <c r="C27" s="7"/>
      <c r="D27" s="2"/>
      <c r="E27" s="2"/>
      <c r="F27" s="2"/>
      <c r="G27" s="7"/>
      <c r="H27" s="7"/>
      <c r="I27" s="7"/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s="5" customFormat="1">
      <c r="A28" s="10"/>
      <c r="B28" s="36"/>
      <c r="C28" s="7"/>
      <c r="D28" s="2"/>
      <c r="E28" s="2"/>
      <c r="F28" s="2"/>
      <c r="G28" s="7"/>
      <c r="H28" s="7"/>
      <c r="I28" s="7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4" s="5" customFormat="1">
      <c r="A29" s="10"/>
      <c r="B29" s="36"/>
      <c r="C29" s="7"/>
      <c r="D29" s="2"/>
      <c r="E29" s="2"/>
      <c r="F29" s="2"/>
      <c r="G29" s="7"/>
      <c r="H29" s="7"/>
      <c r="I29" s="7"/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4" s="5" customFormat="1">
      <c r="A30" s="10"/>
      <c r="B30" s="36"/>
      <c r="C30" s="8"/>
      <c r="D30" s="3"/>
      <c r="E30" s="3"/>
      <c r="F30" s="3"/>
      <c r="G30" s="8"/>
      <c r="H30" s="8"/>
      <c r="I30" s="8"/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4" s="5" customFormat="1">
      <c r="A31" s="10"/>
      <c r="B31" s="36"/>
      <c r="C31" s="7"/>
      <c r="D31" s="2"/>
      <c r="E31" s="2"/>
      <c r="F31" s="2"/>
      <c r="G31" s="7"/>
      <c r="H31" s="7"/>
      <c r="I31" s="7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4" s="5" customFormat="1">
      <c r="A32" s="10"/>
      <c r="B32" s="36"/>
      <c r="C32" s="9"/>
      <c r="D32" s="4"/>
      <c r="E32" s="4"/>
      <c r="F32" s="4"/>
      <c r="G32" s="9"/>
      <c r="H32" s="9"/>
      <c r="I32" s="9"/>
      <c r="J32" s="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6" s="5" customFormat="1">
      <c r="A33" s="10"/>
      <c r="B33" s="36"/>
      <c r="C33" s="9"/>
      <c r="D33" s="4"/>
      <c r="E33" s="4"/>
      <c r="F33" s="4"/>
      <c r="G33" s="9"/>
      <c r="H33" s="9"/>
      <c r="I33" s="9"/>
      <c r="J33" s="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6" s="5" customFormat="1">
      <c r="A34" s="10"/>
      <c r="B34" s="36"/>
      <c r="C34" s="7"/>
      <c r="D34" s="2"/>
      <c r="E34" s="2"/>
      <c r="F34" s="2"/>
      <c r="G34" s="7"/>
      <c r="H34" s="7"/>
      <c r="I34" s="7"/>
      <c r="J34" s="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6" s="5" customFormat="1">
      <c r="A35" s="10"/>
      <c r="B35" s="36"/>
      <c r="C35" s="7"/>
      <c r="D35" s="2"/>
      <c r="E35" s="2"/>
      <c r="F35" s="2"/>
      <c r="G35" s="7"/>
      <c r="H35" s="7"/>
      <c r="I35" s="7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6" s="5" customFormat="1">
      <c r="A36" s="10"/>
      <c r="B36" s="36"/>
      <c r="C36" s="7"/>
      <c r="D36" s="2"/>
      <c r="E36" s="2"/>
      <c r="F36" s="2"/>
      <c r="G36" s="7"/>
      <c r="H36" s="7"/>
      <c r="I36" s="7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6" s="5" customFormat="1">
      <c r="A37" s="10"/>
      <c r="B37" s="36"/>
      <c r="C37" s="7"/>
      <c r="D37" s="2"/>
      <c r="E37" s="2"/>
      <c r="F37" s="2"/>
      <c r="G37" s="7"/>
      <c r="H37" s="7"/>
      <c r="I37" s="7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6" s="5" customFormat="1">
      <c r="A38" s="10"/>
      <c r="B38" s="36"/>
      <c r="C38" s="8"/>
      <c r="D38" s="3"/>
      <c r="E38" s="3"/>
      <c r="F38" s="3"/>
      <c r="G38" s="8"/>
      <c r="H38" s="8"/>
      <c r="I38" s="8"/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6" s="5" customFormat="1">
      <c r="A39" s="10"/>
      <c r="B39" s="36"/>
      <c r="C39" s="7"/>
      <c r="D39" s="2"/>
      <c r="E39" s="2"/>
      <c r="F39" s="2"/>
      <c r="G39" s="7"/>
      <c r="H39" s="7"/>
      <c r="I39" s="7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6" s="5" customFormat="1">
      <c r="A40" s="10"/>
      <c r="B40" s="36"/>
      <c r="C40" s="9"/>
      <c r="D40" s="4"/>
      <c r="E40" s="4"/>
      <c r="F40" s="4"/>
      <c r="G40" s="9"/>
      <c r="H40" s="9"/>
      <c r="I40" s="9"/>
      <c r="J40" s="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6" s="5" customFormat="1">
      <c r="A41" s="10"/>
      <c r="B41" s="36"/>
      <c r="C41" s="9"/>
      <c r="D41" s="4"/>
      <c r="E41" s="4"/>
      <c r="F41" s="4"/>
      <c r="G41" s="9"/>
      <c r="H41" s="9"/>
      <c r="I41" s="9"/>
      <c r="J41" s="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6" s="5" customFormat="1">
      <c r="A42" s="10"/>
      <c r="B42" s="36"/>
      <c r="C42" s="10"/>
      <c r="G42" s="10"/>
      <c r="H42" s="10"/>
      <c r="I42" s="10"/>
      <c r="J42" s="10"/>
    </row>
    <row r="43" spans="1:26" s="5" customFormat="1">
      <c r="A43" s="10"/>
      <c r="B43" s="36"/>
      <c r="C43" s="7"/>
      <c r="D43" s="2"/>
      <c r="E43" s="2"/>
      <c r="F43" s="2"/>
      <c r="G43" s="7"/>
      <c r="H43" s="7"/>
      <c r="I43" s="7"/>
      <c r="J43" s="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s="5" customFormat="1">
      <c r="A44" s="10"/>
      <c r="B44" s="36"/>
      <c r="C44" s="7"/>
      <c r="D44" s="2"/>
      <c r="E44" s="2"/>
      <c r="F44" s="2"/>
      <c r="G44" s="7"/>
      <c r="H44" s="7"/>
      <c r="I44" s="7"/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6" s="5" customFormat="1">
      <c r="A45" s="10"/>
      <c r="B45" s="36"/>
      <c r="C45" s="7"/>
      <c r="D45" s="2"/>
      <c r="E45" s="2"/>
      <c r="F45" s="2"/>
      <c r="G45" s="7"/>
      <c r="H45" s="7"/>
      <c r="I45" s="7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6" s="5" customFormat="1">
      <c r="A46" s="10"/>
      <c r="B46" s="36"/>
      <c r="C46" s="8"/>
      <c r="D46" s="3"/>
      <c r="E46" s="3"/>
      <c r="F46" s="3"/>
      <c r="G46" s="8"/>
      <c r="H46" s="8"/>
      <c r="I46" s="8"/>
      <c r="J46" s="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6" s="5" customFormat="1">
      <c r="A47" s="10"/>
      <c r="B47" s="36"/>
      <c r="C47" s="7"/>
      <c r="D47" s="2"/>
      <c r="E47" s="2"/>
      <c r="F47" s="2"/>
      <c r="G47" s="7"/>
      <c r="H47" s="7"/>
      <c r="I47" s="7"/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6" s="5" customFormat="1">
      <c r="A48" s="10"/>
      <c r="B48" s="36"/>
      <c r="C48" s="9"/>
      <c r="D48" s="4"/>
      <c r="E48" s="4"/>
      <c r="F48" s="4"/>
      <c r="G48" s="9"/>
      <c r="H48" s="9"/>
      <c r="I48" s="9"/>
      <c r="J48" s="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8" s="5" customFormat="1">
      <c r="A49" s="10"/>
      <c r="B49" s="36"/>
      <c r="C49" s="9"/>
      <c r="D49" s="4"/>
      <c r="E49" s="4"/>
      <c r="F49" s="4"/>
      <c r="G49" s="9"/>
      <c r="H49" s="9"/>
      <c r="I49" s="9"/>
      <c r="J49" s="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8" s="5" customFormat="1">
      <c r="A50" s="10"/>
      <c r="B50" s="36"/>
      <c r="C50" s="10"/>
      <c r="G50" s="10"/>
      <c r="H50" s="10"/>
      <c r="I50" s="10"/>
      <c r="J50" s="10"/>
    </row>
    <row r="51" spans="1:28" s="5" customFormat="1">
      <c r="A51" s="10"/>
      <c r="B51" s="36"/>
      <c r="C51" s="7"/>
      <c r="D51" s="2"/>
      <c r="E51" s="2"/>
      <c r="F51" s="2"/>
      <c r="G51" s="7"/>
      <c r="H51" s="7"/>
      <c r="I51" s="7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8" s="5" customFormat="1">
      <c r="A52" s="10"/>
      <c r="B52" s="36"/>
      <c r="C52" s="7"/>
      <c r="D52" s="2"/>
      <c r="E52" s="2"/>
      <c r="F52" s="2"/>
      <c r="G52" s="7"/>
      <c r="H52" s="7"/>
      <c r="I52" s="7"/>
      <c r="J52" s="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8" s="5" customFormat="1">
      <c r="A53" s="10"/>
      <c r="B53" s="36"/>
      <c r="C53" s="7"/>
      <c r="D53" s="2"/>
      <c r="E53" s="2"/>
      <c r="F53" s="2"/>
      <c r="G53" s="7"/>
      <c r="H53" s="7"/>
      <c r="I53" s="7"/>
      <c r="J53" s="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8" s="5" customFormat="1">
      <c r="A54" s="10"/>
      <c r="B54" s="36"/>
      <c r="C54" s="8"/>
      <c r="D54" s="3"/>
      <c r="E54" s="3"/>
      <c r="F54" s="3"/>
      <c r="G54" s="8"/>
      <c r="H54" s="8"/>
      <c r="I54" s="8"/>
      <c r="J54" s="8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8" s="5" customFormat="1">
      <c r="A55" s="10"/>
      <c r="B55" s="36"/>
      <c r="C55" s="7"/>
      <c r="D55" s="2"/>
      <c r="E55" s="2"/>
      <c r="F55" s="2"/>
      <c r="G55" s="7"/>
      <c r="H55" s="7"/>
      <c r="I55" s="7"/>
      <c r="J55" s="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8" s="5" customFormat="1">
      <c r="A56" s="10"/>
      <c r="B56" s="36"/>
      <c r="C56" s="9"/>
      <c r="D56" s="4"/>
      <c r="E56" s="4"/>
      <c r="F56" s="4"/>
      <c r="G56" s="9"/>
      <c r="H56" s="9"/>
      <c r="I56" s="9"/>
      <c r="J56" s="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8" s="5" customFormat="1">
      <c r="A57" s="10"/>
      <c r="B57" s="36"/>
      <c r="C57" s="9"/>
      <c r="D57" s="4"/>
      <c r="E57" s="4"/>
      <c r="F57" s="4"/>
      <c r="G57" s="9"/>
      <c r="H57" s="9"/>
      <c r="I57" s="9"/>
      <c r="J57" s="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8" s="5" customFormat="1">
      <c r="A58" s="10"/>
      <c r="B58" s="36"/>
      <c r="C58" s="10"/>
      <c r="G58" s="10"/>
      <c r="H58" s="10"/>
      <c r="I58" s="10"/>
      <c r="J58" s="10"/>
    </row>
    <row r="59" spans="1:28" s="5" customFormat="1">
      <c r="A59" s="10"/>
      <c r="B59" s="36"/>
      <c r="C59" s="7"/>
      <c r="D59" s="2"/>
      <c r="E59" s="2"/>
      <c r="F59" s="2"/>
      <c r="G59" s="7"/>
      <c r="H59" s="7"/>
      <c r="I59" s="7"/>
      <c r="J59" s="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s="5" customFormat="1">
      <c r="A60" s="10"/>
      <c r="B60" s="36"/>
      <c r="C60" s="7"/>
      <c r="D60" s="2"/>
      <c r="E60" s="2"/>
      <c r="F60" s="2"/>
      <c r="G60" s="7"/>
      <c r="H60" s="7"/>
      <c r="I60" s="7"/>
      <c r="J60" s="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8" s="5" customFormat="1">
      <c r="A61" s="10"/>
      <c r="B61" s="36"/>
      <c r="C61" s="7"/>
      <c r="D61" s="2"/>
      <c r="E61" s="2"/>
      <c r="F61" s="2"/>
      <c r="G61" s="7"/>
      <c r="H61" s="7"/>
      <c r="I61" s="7"/>
      <c r="J61" s="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8" s="5" customFormat="1">
      <c r="A62" s="10"/>
      <c r="B62" s="36"/>
      <c r="C62" s="8"/>
      <c r="D62" s="3"/>
      <c r="E62" s="3"/>
      <c r="F62" s="3"/>
      <c r="G62" s="8"/>
      <c r="H62" s="8"/>
      <c r="I62" s="8"/>
      <c r="J62" s="8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8" s="5" customFormat="1">
      <c r="A63" s="10"/>
      <c r="B63" s="36"/>
      <c r="C63" s="7"/>
      <c r="D63" s="2"/>
      <c r="E63" s="2"/>
      <c r="F63" s="2"/>
      <c r="G63" s="7"/>
      <c r="H63" s="7"/>
      <c r="I63" s="7"/>
      <c r="J63" s="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8" s="5" customFormat="1">
      <c r="A64" s="10"/>
      <c r="B64" s="36"/>
      <c r="C64" s="9"/>
      <c r="D64" s="4"/>
      <c r="E64" s="4"/>
      <c r="F64" s="4"/>
      <c r="G64" s="9"/>
      <c r="H64" s="9"/>
      <c r="I64" s="9"/>
      <c r="J64" s="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30" s="5" customFormat="1">
      <c r="A65" s="10"/>
      <c r="B65" s="36"/>
      <c r="C65" s="9"/>
      <c r="D65" s="4"/>
      <c r="E65" s="4"/>
      <c r="F65" s="4"/>
      <c r="G65" s="9"/>
      <c r="H65" s="9"/>
      <c r="I65" s="9"/>
      <c r="J65" s="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30" s="5" customFormat="1">
      <c r="A66" s="10"/>
      <c r="B66" s="36"/>
      <c r="C66" s="10"/>
      <c r="G66" s="10"/>
      <c r="H66" s="10"/>
      <c r="I66" s="10"/>
      <c r="J66" s="10"/>
    </row>
    <row r="67" spans="1:30" s="5" customFormat="1">
      <c r="A67" s="10"/>
      <c r="B67" s="36"/>
      <c r="C67" s="7"/>
      <c r="D67" s="2"/>
      <c r="E67" s="2"/>
      <c r="F67" s="2"/>
      <c r="G67" s="7"/>
      <c r="H67" s="7"/>
      <c r="I67" s="7"/>
      <c r="J67" s="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30" s="5" customFormat="1">
      <c r="A68" s="10"/>
      <c r="B68" s="36"/>
      <c r="C68" s="7"/>
      <c r="D68" s="2"/>
      <c r="E68" s="2"/>
      <c r="F68" s="2"/>
      <c r="G68" s="7"/>
      <c r="H68" s="7"/>
      <c r="I68" s="7"/>
      <c r="J68" s="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30" s="5" customFormat="1">
      <c r="A69" s="10"/>
      <c r="B69" s="36"/>
      <c r="C69" s="7"/>
      <c r="D69" s="2"/>
      <c r="E69" s="2"/>
      <c r="F69" s="2"/>
      <c r="G69" s="7"/>
      <c r="H69" s="7"/>
      <c r="I69" s="7"/>
      <c r="J69" s="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30" s="5" customFormat="1">
      <c r="A70" s="10"/>
      <c r="B70" s="36"/>
      <c r="C70" s="8"/>
      <c r="D70" s="3"/>
      <c r="E70" s="3"/>
      <c r="F70" s="3"/>
      <c r="G70" s="8"/>
      <c r="H70" s="8"/>
      <c r="I70" s="8"/>
      <c r="J70" s="8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30" s="5" customFormat="1">
      <c r="A71" s="10"/>
      <c r="B71" s="36"/>
      <c r="C71" s="7"/>
      <c r="D71" s="2"/>
      <c r="E71" s="2"/>
      <c r="F71" s="2"/>
      <c r="G71" s="7"/>
      <c r="H71" s="7"/>
      <c r="I71" s="7"/>
      <c r="J71" s="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30" s="5" customFormat="1">
      <c r="A72" s="10"/>
      <c r="B72" s="36"/>
      <c r="C72" s="9"/>
      <c r="D72" s="4"/>
      <c r="E72" s="4"/>
      <c r="F72" s="4"/>
      <c r="G72" s="9"/>
      <c r="H72" s="9"/>
      <c r="I72" s="9"/>
      <c r="J72" s="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30" s="5" customFormat="1">
      <c r="A73" s="10"/>
      <c r="B73" s="36"/>
      <c r="C73" s="9"/>
      <c r="D73" s="4"/>
      <c r="E73" s="4"/>
      <c r="F73" s="4"/>
      <c r="G73" s="9"/>
      <c r="H73" s="9"/>
      <c r="I73" s="9"/>
      <c r="J73" s="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30" s="5" customFormat="1">
      <c r="A74" s="10"/>
      <c r="B74" s="36"/>
    </row>
    <row r="75" spans="1:30" s="5" customFormat="1">
      <c r="A75" s="10"/>
      <c r="B75" s="3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s="5" customFormat="1">
      <c r="A76" s="10"/>
      <c r="B76" s="3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30" s="5" customFormat="1">
      <c r="A77" s="10"/>
      <c r="B77" s="3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30" s="5" customFormat="1">
      <c r="A78" s="10"/>
      <c r="B78" s="3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30" s="5" customFormat="1">
      <c r="A79" s="10"/>
      <c r="B79" s="3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30" s="5" customFormat="1">
      <c r="A80" s="10"/>
      <c r="B80" s="36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s="5" customFormat="1">
      <c r="A81" s="10"/>
      <c r="B81" s="36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s="5" customFormat="1">
      <c r="A82" s="10"/>
      <c r="B82" s="36"/>
    </row>
    <row r="83" spans="1:23" s="5" customFormat="1">
      <c r="A83" s="10"/>
      <c r="B83" s="36"/>
    </row>
    <row r="84" spans="1:23" s="5" customFormat="1">
      <c r="A84" s="10"/>
      <c r="B84" s="36"/>
    </row>
    <row r="85" spans="1:23" s="5" customFormat="1">
      <c r="A85" s="10"/>
      <c r="B85" s="36"/>
    </row>
    <row r="86" spans="1:23" s="5" customFormat="1">
      <c r="A86" s="10"/>
      <c r="B86" s="36"/>
    </row>
    <row r="87" spans="1:23" s="5" customFormat="1">
      <c r="A87" s="10"/>
      <c r="B87" s="36"/>
    </row>
    <row r="88" spans="1:23" s="5" customFormat="1">
      <c r="A88" s="10"/>
      <c r="B88" s="36"/>
    </row>
    <row r="89" spans="1:23" s="5" customFormat="1">
      <c r="A89" s="10"/>
      <c r="B89" s="36"/>
    </row>
    <row r="90" spans="1:23" s="5" customFormat="1">
      <c r="A90" s="10"/>
      <c r="B90" s="36"/>
    </row>
    <row r="91" spans="1:23" s="5" customFormat="1">
      <c r="A91" s="10"/>
      <c r="B91" s="36"/>
    </row>
    <row r="92" spans="1:23" s="5" customFormat="1">
      <c r="A92" s="10"/>
      <c r="B92" s="36"/>
    </row>
    <row r="93" spans="1:23" s="5" customFormat="1">
      <c r="A93" s="10"/>
      <c r="B93" s="36"/>
    </row>
    <row r="94" spans="1:23" s="5" customFormat="1">
      <c r="A94" s="10"/>
      <c r="B94" s="36"/>
    </row>
    <row r="95" spans="1:23" s="5" customFormat="1">
      <c r="A95" s="10"/>
      <c r="B95" s="36"/>
    </row>
    <row r="96" spans="1:23" s="5" customFormat="1">
      <c r="A96" s="10"/>
      <c r="B96" s="36"/>
    </row>
    <row r="97" spans="1:2" s="5" customFormat="1">
      <c r="A97" s="10"/>
      <c r="B97" s="36"/>
    </row>
    <row r="98" spans="1:2" s="5" customFormat="1">
      <c r="A98" s="10"/>
      <c r="B98" s="36"/>
    </row>
  </sheetData>
  <phoneticPr fontId="2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8055-A911-46E8-A435-AD6EBD75E127}">
  <dimension ref="A1:AL98"/>
  <sheetViews>
    <sheetView zoomScale="85" zoomScaleNormal="85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L13" sqref="AL13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8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8">
      <c r="A2" s="39" t="s">
        <v>72</v>
      </c>
      <c r="B2" s="40"/>
      <c r="C2" s="41">
        <v>45885</v>
      </c>
      <c r="D2" s="42"/>
      <c r="E2" s="42"/>
      <c r="F2" s="42"/>
      <c r="G2" s="43"/>
      <c r="H2" s="43"/>
      <c r="I2" s="43"/>
      <c r="J2" s="43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spans="1:38">
      <c r="A3" s="44" t="s">
        <v>1</v>
      </c>
      <c r="B3" s="40" t="s">
        <v>2</v>
      </c>
      <c r="C3" s="43">
        <v>66000000</v>
      </c>
      <c r="D3" s="42"/>
      <c r="E3" s="42"/>
      <c r="F3" s="42"/>
      <c r="G3" s="43"/>
      <c r="H3" s="43"/>
      <c r="I3" s="43"/>
      <c r="J3" s="43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</row>
    <row r="4" spans="1:38">
      <c r="A4" s="44" t="s">
        <v>15</v>
      </c>
      <c r="B4" s="40" t="s">
        <v>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>
        <v>0</v>
      </c>
      <c r="AB4" s="43">
        <v>0</v>
      </c>
      <c r="AC4" s="43">
        <v>468033</v>
      </c>
      <c r="AD4" s="43">
        <v>235100</v>
      </c>
      <c r="AE4" s="43">
        <v>235100</v>
      </c>
      <c r="AF4" s="43">
        <v>235100</v>
      </c>
      <c r="AG4" s="43">
        <v>235100</v>
      </c>
      <c r="AH4" s="43"/>
      <c r="AI4" s="43"/>
      <c r="AJ4" s="43"/>
    </row>
    <row r="5" spans="1:38">
      <c r="A5" s="44" t="s">
        <v>4</v>
      </c>
      <c r="B5" s="40" t="s">
        <v>2</v>
      </c>
      <c r="C5" s="43"/>
      <c r="D5" s="43"/>
      <c r="E5" s="43"/>
      <c r="F5" s="43"/>
      <c r="G5" s="43"/>
      <c r="H5" s="43"/>
      <c r="I5" s="43"/>
      <c r="J5" s="43"/>
      <c r="K5" s="42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2"/>
      <c r="Y5" s="43">
        <v>82314</v>
      </c>
      <c r="Z5" s="43">
        <v>82314</v>
      </c>
      <c r="AA5" s="43">
        <v>82314</v>
      </c>
      <c r="AB5" s="43">
        <v>82314</v>
      </c>
      <c r="AC5" s="43">
        <v>82314</v>
      </c>
      <c r="AD5" s="43">
        <v>82317</v>
      </c>
      <c r="AE5" s="43">
        <v>82314</v>
      </c>
      <c r="AF5" s="43">
        <v>82314</v>
      </c>
      <c r="AG5" s="43">
        <v>82314</v>
      </c>
      <c r="AH5" s="43">
        <v>82314</v>
      </c>
      <c r="AI5" s="43">
        <v>82314</v>
      </c>
      <c r="AJ5" s="43">
        <v>82317</v>
      </c>
    </row>
    <row r="6" spans="1:38">
      <c r="A6" s="44" t="s">
        <v>5</v>
      </c>
      <c r="B6" s="40" t="s">
        <v>2</v>
      </c>
      <c r="C6" s="43">
        <v>42946717</v>
      </c>
      <c r="D6" s="43"/>
      <c r="E6" s="43"/>
      <c r="F6" s="43"/>
      <c r="G6" s="43"/>
      <c r="H6" s="43"/>
      <c r="I6" s="43"/>
      <c r="J6" s="43"/>
      <c r="K6" s="42"/>
      <c r="L6" s="43">
        <f>SUM(J6-L5)</f>
        <v>0</v>
      </c>
      <c r="M6" s="43">
        <f t="shared" ref="M6:W6" si="0">SUM(L6-M5)</f>
        <v>0</v>
      </c>
      <c r="N6" s="43">
        <f t="shared" si="0"/>
        <v>0</v>
      </c>
      <c r="O6" s="43">
        <f t="shared" si="0"/>
        <v>0</v>
      </c>
      <c r="P6" s="43">
        <f t="shared" si="0"/>
        <v>0</v>
      </c>
      <c r="Q6" s="43">
        <f t="shared" si="0"/>
        <v>0</v>
      </c>
      <c r="R6" s="43">
        <f t="shared" si="0"/>
        <v>0</v>
      </c>
      <c r="S6" s="43">
        <f t="shared" si="0"/>
        <v>0</v>
      </c>
      <c r="T6" s="43">
        <f t="shared" si="0"/>
        <v>0</v>
      </c>
      <c r="U6" s="43">
        <f t="shared" si="0"/>
        <v>0</v>
      </c>
      <c r="V6" s="43">
        <f t="shared" si="0"/>
        <v>0</v>
      </c>
      <c r="W6" s="43">
        <f t="shared" si="0"/>
        <v>0</v>
      </c>
      <c r="X6" s="42"/>
      <c r="Y6" s="43">
        <f>SUM(C6-Y5)</f>
        <v>42864403</v>
      </c>
      <c r="Z6" s="43">
        <f t="shared" ref="Z6:AJ6" si="1">SUM(Y6-Z5)</f>
        <v>42782089</v>
      </c>
      <c r="AA6" s="43">
        <f t="shared" si="1"/>
        <v>42699775</v>
      </c>
      <c r="AB6" s="43">
        <f t="shared" si="1"/>
        <v>42617461</v>
      </c>
      <c r="AC6" s="43">
        <f t="shared" si="1"/>
        <v>42535147</v>
      </c>
      <c r="AD6" s="43">
        <f t="shared" si="1"/>
        <v>42452830</v>
      </c>
      <c r="AE6" s="43">
        <f t="shared" si="1"/>
        <v>42370516</v>
      </c>
      <c r="AF6" s="43">
        <f t="shared" si="1"/>
        <v>42288202</v>
      </c>
      <c r="AG6" s="43">
        <f t="shared" si="1"/>
        <v>42205888</v>
      </c>
      <c r="AH6" s="43">
        <f t="shared" si="1"/>
        <v>42123574</v>
      </c>
      <c r="AI6" s="43">
        <f t="shared" si="1"/>
        <v>42041260</v>
      </c>
      <c r="AJ6" s="43">
        <f t="shared" si="1"/>
        <v>41958943</v>
      </c>
    </row>
    <row r="7" spans="1:38">
      <c r="A7" s="44" t="s">
        <v>16</v>
      </c>
      <c r="B7" s="40" t="s">
        <v>2</v>
      </c>
      <c r="C7" s="43">
        <v>22380</v>
      </c>
      <c r="D7" s="42"/>
      <c r="E7" s="42"/>
      <c r="F7" s="42"/>
      <c r="G7" s="43"/>
      <c r="H7" s="43"/>
      <c r="I7" s="43"/>
      <c r="J7" s="43"/>
      <c r="K7" s="42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2"/>
      <c r="Y7" s="43"/>
      <c r="Z7" s="43"/>
      <c r="AA7" s="43">
        <v>22380</v>
      </c>
      <c r="AB7" s="43">
        <v>22380</v>
      </c>
      <c r="AC7" s="43">
        <v>22380</v>
      </c>
      <c r="AD7" s="43">
        <v>22380</v>
      </c>
      <c r="AE7" s="43">
        <v>22380</v>
      </c>
      <c r="AF7" s="43">
        <v>22380</v>
      </c>
      <c r="AG7" s="43">
        <v>22380</v>
      </c>
      <c r="AH7" s="43"/>
      <c r="AI7" s="43"/>
      <c r="AJ7" s="43"/>
    </row>
    <row r="8" spans="1:38">
      <c r="A8" s="44" t="s">
        <v>7</v>
      </c>
      <c r="B8" s="40" t="s">
        <v>2</v>
      </c>
      <c r="C8" s="43"/>
      <c r="D8" s="42"/>
      <c r="E8" s="42"/>
      <c r="F8" s="42"/>
      <c r="G8" s="42"/>
      <c r="H8" s="42"/>
      <c r="I8" s="42"/>
      <c r="J8" s="42"/>
      <c r="K8" s="42"/>
      <c r="L8" s="43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3"/>
      <c r="Z8" s="42"/>
      <c r="AA8" s="42">
        <v>0</v>
      </c>
      <c r="AB8" s="42">
        <v>0</v>
      </c>
      <c r="AC8" s="42">
        <v>5346</v>
      </c>
      <c r="AD8" s="42">
        <v>5172</v>
      </c>
      <c r="AE8" s="42">
        <v>5172</v>
      </c>
      <c r="AF8" s="42">
        <v>5172</v>
      </c>
      <c r="AG8" s="42">
        <v>5172</v>
      </c>
      <c r="AH8" s="42"/>
      <c r="AI8" s="42"/>
      <c r="AJ8" s="42"/>
    </row>
    <row r="9" spans="1:38">
      <c r="A9" s="44" t="s">
        <v>8</v>
      </c>
      <c r="B9" s="40" t="s">
        <v>2</v>
      </c>
      <c r="C9" s="43"/>
      <c r="D9" s="42"/>
      <c r="E9" s="42"/>
      <c r="F9" s="42"/>
      <c r="G9" s="43"/>
      <c r="H9" s="43"/>
      <c r="I9" s="43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</row>
    <row r="10" spans="1:38">
      <c r="A10" s="44" t="s">
        <v>9</v>
      </c>
      <c r="B10" s="40" t="s">
        <v>2</v>
      </c>
      <c r="C10" s="45"/>
      <c r="D10" s="46"/>
      <c r="E10" s="46"/>
      <c r="F10" s="46"/>
      <c r="G10" s="45"/>
      <c r="H10" s="45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</row>
    <row r="11" spans="1:38">
      <c r="A11" s="44" t="s">
        <v>10</v>
      </c>
      <c r="B11" s="40" t="s">
        <v>2</v>
      </c>
      <c r="C11" s="47"/>
      <c r="D11" s="48"/>
      <c r="E11" s="48"/>
      <c r="F11" s="48"/>
      <c r="G11" s="47"/>
      <c r="H11" s="47"/>
      <c r="I11" s="47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</row>
    <row r="12" spans="1:38">
      <c r="A12" s="44" t="s">
        <v>11</v>
      </c>
      <c r="B12" s="40" t="s">
        <v>2</v>
      </c>
      <c r="C12" s="47"/>
      <c r="D12" s="48"/>
      <c r="E12" s="48"/>
      <c r="F12" s="48"/>
      <c r="G12" s="47"/>
      <c r="H12" s="47"/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</row>
    <row r="13" spans="1:38">
      <c r="A13" s="44" t="s">
        <v>12</v>
      </c>
      <c r="B13" s="40" t="s">
        <v>2</v>
      </c>
      <c r="C13" s="47"/>
      <c r="D13" s="49">
        <f>SUM(D4-D7-D8-D9)</f>
        <v>0</v>
      </c>
      <c r="E13" s="49">
        <f t="shared" ref="E13:J13" si="2">SUM(E4-E7-E8-E9)</f>
        <v>0</v>
      </c>
      <c r="F13" s="49">
        <f t="shared" si="2"/>
        <v>0</v>
      </c>
      <c r="G13" s="49">
        <f>SUM(G4-G7-G8-G9)</f>
        <v>0</v>
      </c>
      <c r="H13" s="49">
        <f t="shared" si="2"/>
        <v>0</v>
      </c>
      <c r="I13" s="49">
        <f t="shared" si="2"/>
        <v>0</v>
      </c>
      <c r="J13" s="49">
        <f t="shared" si="2"/>
        <v>0</v>
      </c>
      <c r="K13" s="49"/>
      <c r="L13" s="49">
        <f>SUM(L4-L7-L8-L9)</f>
        <v>0</v>
      </c>
      <c r="M13" s="49">
        <f t="shared" ref="M13:W13" si="3">SUM(M4-M7-M8-M9)</f>
        <v>0</v>
      </c>
      <c r="N13" s="49">
        <f t="shared" si="3"/>
        <v>0</v>
      </c>
      <c r="O13" s="49">
        <f t="shared" si="3"/>
        <v>0</v>
      </c>
      <c r="P13" s="49">
        <f t="shared" si="3"/>
        <v>0</v>
      </c>
      <c r="Q13" s="49">
        <f t="shared" si="3"/>
        <v>0</v>
      </c>
      <c r="R13" s="49">
        <f t="shared" si="3"/>
        <v>0</v>
      </c>
      <c r="S13" s="49">
        <f t="shared" si="3"/>
        <v>0</v>
      </c>
      <c r="T13" s="49">
        <f t="shared" si="3"/>
        <v>0</v>
      </c>
      <c r="U13" s="49">
        <f t="shared" si="3"/>
        <v>0</v>
      </c>
      <c r="V13" s="49">
        <f t="shared" si="3"/>
        <v>0</v>
      </c>
      <c r="W13" s="49">
        <f t="shared" si="3"/>
        <v>0</v>
      </c>
      <c r="X13" s="49"/>
      <c r="Y13" s="49">
        <f>SUM(Y4-Y7-Y8-Y9)</f>
        <v>0</v>
      </c>
      <c r="Z13" s="49">
        <f t="shared" ref="Z13:AJ13" si="4">SUM(Z4-Z7-Z8-Z9)</f>
        <v>0</v>
      </c>
      <c r="AA13" s="49">
        <f t="shared" si="4"/>
        <v>-22380</v>
      </c>
      <c r="AB13" s="49">
        <f t="shared" si="4"/>
        <v>-22380</v>
      </c>
      <c r="AC13" s="49">
        <f t="shared" si="4"/>
        <v>440307</v>
      </c>
      <c r="AD13" s="49">
        <f t="shared" si="4"/>
        <v>207548</v>
      </c>
      <c r="AE13" s="49">
        <f t="shared" si="4"/>
        <v>207548</v>
      </c>
      <c r="AF13" s="49">
        <f t="shared" si="4"/>
        <v>207548</v>
      </c>
      <c r="AG13" s="49">
        <f t="shared" si="4"/>
        <v>207548</v>
      </c>
      <c r="AH13" s="49">
        <f t="shared" si="4"/>
        <v>0</v>
      </c>
      <c r="AI13" s="49">
        <f t="shared" si="4"/>
        <v>0</v>
      </c>
      <c r="AJ13" s="49">
        <f t="shared" si="4"/>
        <v>0</v>
      </c>
      <c r="AL13" s="5">
        <v>34032</v>
      </c>
    </row>
    <row r="14" spans="1:38">
      <c r="A14" s="44" t="s">
        <v>13</v>
      </c>
      <c r="B14" s="40" t="s">
        <v>2</v>
      </c>
      <c r="C14" s="47"/>
      <c r="D14" s="48"/>
      <c r="E14" s="48"/>
      <c r="F14" s="48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</row>
    <row r="15" spans="1:38" s="5" customFormat="1">
      <c r="A15" s="70" t="s">
        <v>73</v>
      </c>
      <c r="B15" s="36"/>
      <c r="C15" s="7"/>
      <c r="D15" s="2"/>
      <c r="E15" s="2"/>
      <c r="F15" s="2"/>
      <c r="G15" s="7"/>
      <c r="H15" s="7"/>
      <c r="I15" s="7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AC15" s="5" t="s">
        <v>74</v>
      </c>
    </row>
    <row r="16" spans="1:38" s="5" customFormat="1">
      <c r="A16" s="10"/>
      <c r="B16" s="36"/>
      <c r="C16" s="9"/>
      <c r="D16" s="4"/>
      <c r="E16" s="4"/>
      <c r="F16" s="4"/>
      <c r="G16" s="9"/>
      <c r="H16" s="9"/>
      <c r="I16" s="9"/>
      <c r="J16" s="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90"/>
      <c r="AC16" s="5" t="s">
        <v>73</v>
      </c>
    </row>
    <row r="17" spans="1:24" s="5" customFormat="1">
      <c r="A17" s="10"/>
      <c r="B17" s="36"/>
      <c r="C17" s="9"/>
      <c r="D17" s="4"/>
      <c r="E17" s="4"/>
      <c r="F17" s="4"/>
      <c r="G17" s="9"/>
      <c r="H17" s="9"/>
      <c r="I17" s="9"/>
      <c r="J17" s="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4" s="5" customFormat="1">
      <c r="A18" s="10"/>
      <c r="B18" s="36"/>
      <c r="C18" s="7"/>
      <c r="D18" s="2"/>
      <c r="E18" s="2"/>
      <c r="F18" s="2"/>
      <c r="G18" s="7"/>
      <c r="H18" s="7"/>
      <c r="I18" s="7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4" s="5" customFormat="1">
      <c r="A19" s="10"/>
      <c r="B19" s="36"/>
      <c r="C19" s="7"/>
      <c r="D19" s="2"/>
      <c r="E19" s="2"/>
      <c r="F19" s="2"/>
      <c r="G19" s="7"/>
      <c r="H19" s="7"/>
      <c r="I19" s="7"/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4" s="5" customFormat="1">
      <c r="A20" s="10"/>
      <c r="B20" s="36"/>
      <c r="C20" s="7"/>
      <c r="D20" s="2"/>
      <c r="E20" s="2"/>
      <c r="F20" s="2"/>
      <c r="G20" s="7"/>
      <c r="H20" s="7"/>
      <c r="I20" s="7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4" s="5" customFormat="1">
      <c r="A21" s="10"/>
      <c r="B21" s="36"/>
      <c r="C21" s="7"/>
      <c r="D21" s="2"/>
      <c r="E21" s="2"/>
      <c r="F21" s="2"/>
      <c r="G21" s="7"/>
      <c r="H21" s="7"/>
      <c r="I21" s="7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4" s="5" customFormat="1">
      <c r="A22" s="10"/>
      <c r="B22" s="36"/>
      <c r="C22" s="8"/>
      <c r="D22" s="3"/>
      <c r="E22" s="3"/>
      <c r="F22" s="3"/>
      <c r="G22" s="8"/>
      <c r="H22" s="8"/>
      <c r="I22" s="8"/>
      <c r="J22" s="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4" s="5" customFormat="1">
      <c r="A23" s="10"/>
      <c r="B23" s="36"/>
      <c r="C23" s="7"/>
      <c r="D23" s="2"/>
      <c r="E23" s="2"/>
      <c r="F23" s="2"/>
      <c r="G23" s="7"/>
      <c r="H23" s="7"/>
      <c r="I23" s="7"/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4" s="5" customFormat="1">
      <c r="A24" s="10"/>
      <c r="B24" s="36"/>
      <c r="C24" s="9"/>
      <c r="D24" s="4"/>
      <c r="E24" s="4"/>
      <c r="F24" s="4"/>
      <c r="G24" s="9"/>
      <c r="H24" s="9"/>
      <c r="I24" s="9"/>
      <c r="J24" s="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4" s="5" customFormat="1">
      <c r="A25" s="10"/>
      <c r="B25" s="36"/>
      <c r="C25" s="9"/>
      <c r="D25" s="4"/>
      <c r="E25" s="4"/>
      <c r="F25" s="4"/>
      <c r="G25" s="9"/>
      <c r="H25" s="9"/>
      <c r="I25" s="9"/>
      <c r="J25" s="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4" s="5" customFormat="1">
      <c r="A26" s="10"/>
      <c r="B26" s="36"/>
      <c r="C26" s="7"/>
      <c r="D26" s="2"/>
      <c r="E26" s="2"/>
      <c r="F26" s="2"/>
      <c r="G26" s="7"/>
      <c r="H26" s="7"/>
      <c r="I26" s="7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4" s="5" customFormat="1">
      <c r="A27" s="10"/>
      <c r="B27" s="36"/>
      <c r="C27" s="7"/>
      <c r="D27" s="2"/>
      <c r="E27" s="2"/>
      <c r="F27" s="2"/>
      <c r="G27" s="7"/>
      <c r="H27" s="7"/>
      <c r="I27" s="7"/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s="5" customFormat="1">
      <c r="A28" s="10"/>
      <c r="B28" s="36"/>
      <c r="C28" s="7"/>
      <c r="D28" s="2"/>
      <c r="E28" s="2"/>
      <c r="F28" s="2"/>
      <c r="G28" s="7"/>
      <c r="H28" s="7"/>
      <c r="I28" s="7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4" s="5" customFormat="1">
      <c r="A29" s="10"/>
      <c r="B29" s="36"/>
      <c r="C29" s="7"/>
      <c r="D29" s="2"/>
      <c r="E29" s="2"/>
      <c r="F29" s="2"/>
      <c r="G29" s="7"/>
      <c r="H29" s="7"/>
      <c r="I29" s="7"/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4" s="5" customFormat="1">
      <c r="A30" s="10"/>
      <c r="B30" s="36"/>
      <c r="C30" s="8"/>
      <c r="D30" s="3"/>
      <c r="E30" s="3"/>
      <c r="F30" s="3"/>
      <c r="G30" s="8"/>
      <c r="H30" s="8"/>
      <c r="I30" s="8"/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4" s="5" customFormat="1">
      <c r="A31" s="10"/>
      <c r="B31" s="36"/>
      <c r="C31" s="7"/>
      <c r="D31" s="2"/>
      <c r="E31" s="2"/>
      <c r="F31" s="2"/>
      <c r="G31" s="7"/>
      <c r="H31" s="7"/>
      <c r="I31" s="7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4" s="5" customFormat="1">
      <c r="A32" s="10"/>
      <c r="B32" s="36"/>
      <c r="C32" s="9"/>
      <c r="D32" s="4"/>
      <c r="E32" s="4"/>
      <c r="F32" s="4"/>
      <c r="G32" s="9"/>
      <c r="H32" s="9"/>
      <c r="I32" s="9"/>
      <c r="J32" s="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6" s="5" customFormat="1">
      <c r="A33" s="10"/>
      <c r="B33" s="36"/>
      <c r="C33" s="9"/>
      <c r="D33" s="4"/>
      <c r="E33" s="4"/>
      <c r="F33" s="4"/>
      <c r="G33" s="9"/>
      <c r="H33" s="9"/>
      <c r="I33" s="9"/>
      <c r="J33" s="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6" s="5" customFormat="1">
      <c r="A34" s="10"/>
      <c r="B34" s="36"/>
      <c r="C34" s="7"/>
      <c r="D34" s="2"/>
      <c r="E34" s="2"/>
      <c r="F34" s="2"/>
      <c r="G34" s="7"/>
      <c r="H34" s="7"/>
      <c r="I34" s="7"/>
      <c r="J34" s="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6" s="5" customFormat="1">
      <c r="A35" s="10"/>
      <c r="B35" s="36"/>
      <c r="C35" s="7"/>
      <c r="D35" s="2"/>
      <c r="E35" s="2"/>
      <c r="F35" s="2"/>
      <c r="G35" s="7"/>
      <c r="H35" s="7"/>
      <c r="I35" s="7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6" s="5" customFormat="1">
      <c r="A36" s="10"/>
      <c r="B36" s="36"/>
      <c r="C36" s="7"/>
      <c r="D36" s="2"/>
      <c r="E36" s="2"/>
      <c r="F36" s="2"/>
      <c r="G36" s="7"/>
      <c r="H36" s="7"/>
      <c r="I36" s="7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6" s="5" customFormat="1">
      <c r="A37" s="10"/>
      <c r="B37" s="36"/>
      <c r="C37" s="7"/>
      <c r="D37" s="2"/>
      <c r="E37" s="2"/>
      <c r="F37" s="2"/>
      <c r="G37" s="7"/>
      <c r="H37" s="7"/>
      <c r="I37" s="7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6" s="5" customFormat="1">
      <c r="A38" s="10"/>
      <c r="B38" s="36"/>
      <c r="C38" s="8"/>
      <c r="D38" s="3"/>
      <c r="E38" s="3"/>
      <c r="F38" s="3"/>
      <c r="G38" s="8"/>
      <c r="H38" s="8"/>
      <c r="I38" s="8"/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6" s="5" customFormat="1">
      <c r="A39" s="10"/>
      <c r="B39" s="36"/>
      <c r="C39" s="7"/>
      <c r="D39" s="2"/>
      <c r="E39" s="2"/>
      <c r="F39" s="2"/>
      <c r="G39" s="7"/>
      <c r="H39" s="7"/>
      <c r="I39" s="7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6" s="5" customFormat="1">
      <c r="A40" s="10"/>
      <c r="B40" s="36"/>
      <c r="C40" s="9"/>
      <c r="D40" s="4"/>
      <c r="E40" s="4"/>
      <c r="F40" s="4"/>
      <c r="G40" s="9"/>
      <c r="H40" s="9"/>
      <c r="I40" s="9"/>
      <c r="J40" s="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6" s="5" customFormat="1">
      <c r="A41" s="10"/>
      <c r="B41" s="36"/>
      <c r="C41" s="9"/>
      <c r="D41" s="4"/>
      <c r="E41" s="4"/>
      <c r="F41" s="4"/>
      <c r="G41" s="9"/>
      <c r="H41" s="9"/>
      <c r="I41" s="9"/>
      <c r="J41" s="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6" s="5" customFormat="1">
      <c r="A42" s="10"/>
      <c r="B42" s="36"/>
      <c r="C42" s="10"/>
      <c r="G42" s="10"/>
      <c r="H42" s="10"/>
      <c r="I42" s="10"/>
      <c r="J42" s="10"/>
    </row>
    <row r="43" spans="1:26" s="5" customFormat="1">
      <c r="A43" s="10"/>
      <c r="B43" s="36"/>
      <c r="C43" s="7"/>
      <c r="D43" s="2"/>
      <c r="E43" s="2"/>
      <c r="F43" s="2"/>
      <c r="G43" s="7"/>
      <c r="H43" s="7"/>
      <c r="I43" s="7"/>
      <c r="J43" s="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s="5" customFormat="1">
      <c r="A44" s="10"/>
      <c r="B44" s="36"/>
      <c r="C44" s="7"/>
      <c r="D44" s="2"/>
      <c r="E44" s="2"/>
      <c r="F44" s="2"/>
      <c r="G44" s="7"/>
      <c r="H44" s="7"/>
      <c r="I44" s="7"/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6" s="5" customFormat="1">
      <c r="A45" s="10"/>
      <c r="B45" s="36"/>
      <c r="C45" s="7"/>
      <c r="D45" s="2"/>
      <c r="E45" s="2"/>
      <c r="F45" s="2"/>
      <c r="G45" s="7"/>
      <c r="H45" s="7"/>
      <c r="I45" s="7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6" s="5" customFormat="1">
      <c r="A46" s="10"/>
      <c r="B46" s="36"/>
      <c r="C46" s="8"/>
      <c r="D46" s="3"/>
      <c r="E46" s="3"/>
      <c r="F46" s="3"/>
      <c r="G46" s="8"/>
      <c r="H46" s="8"/>
      <c r="I46" s="8"/>
      <c r="J46" s="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6" s="5" customFormat="1">
      <c r="A47" s="10"/>
      <c r="B47" s="36"/>
      <c r="C47" s="7"/>
      <c r="D47" s="2"/>
      <c r="E47" s="2"/>
      <c r="F47" s="2"/>
      <c r="G47" s="7"/>
      <c r="H47" s="7"/>
      <c r="I47" s="7"/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6" s="5" customFormat="1">
      <c r="A48" s="10"/>
      <c r="B48" s="36"/>
      <c r="C48" s="9"/>
      <c r="D48" s="4"/>
      <c r="E48" s="4"/>
      <c r="F48" s="4"/>
      <c r="G48" s="9"/>
      <c r="H48" s="9"/>
      <c r="I48" s="9"/>
      <c r="J48" s="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8" s="5" customFormat="1">
      <c r="A49" s="10"/>
      <c r="B49" s="36"/>
      <c r="C49" s="9"/>
      <c r="D49" s="4"/>
      <c r="E49" s="4"/>
      <c r="F49" s="4"/>
      <c r="G49" s="9"/>
      <c r="H49" s="9"/>
      <c r="I49" s="9"/>
      <c r="J49" s="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8" s="5" customFormat="1">
      <c r="A50" s="10"/>
      <c r="B50" s="36"/>
      <c r="C50" s="10"/>
      <c r="G50" s="10"/>
      <c r="H50" s="10"/>
      <c r="I50" s="10"/>
      <c r="J50" s="10"/>
    </row>
    <row r="51" spans="1:28" s="5" customFormat="1">
      <c r="A51" s="10"/>
      <c r="B51" s="36"/>
      <c r="C51" s="7"/>
      <c r="D51" s="2"/>
      <c r="E51" s="2"/>
      <c r="F51" s="2"/>
      <c r="G51" s="7"/>
      <c r="H51" s="7"/>
      <c r="I51" s="7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8" s="5" customFormat="1">
      <c r="A52" s="10"/>
      <c r="B52" s="36"/>
      <c r="C52" s="7"/>
      <c r="D52" s="2"/>
      <c r="E52" s="2"/>
      <c r="F52" s="2"/>
      <c r="G52" s="7"/>
      <c r="H52" s="7"/>
      <c r="I52" s="7"/>
      <c r="J52" s="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8" s="5" customFormat="1">
      <c r="A53" s="10"/>
      <c r="B53" s="36"/>
      <c r="C53" s="7"/>
      <c r="D53" s="2"/>
      <c r="E53" s="2"/>
      <c r="F53" s="2"/>
      <c r="G53" s="7"/>
      <c r="H53" s="7"/>
      <c r="I53" s="7"/>
      <c r="J53" s="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8" s="5" customFormat="1">
      <c r="A54" s="10"/>
      <c r="B54" s="36"/>
      <c r="C54" s="8"/>
      <c r="D54" s="3"/>
      <c r="E54" s="3"/>
      <c r="F54" s="3"/>
      <c r="G54" s="8"/>
      <c r="H54" s="8"/>
      <c r="I54" s="8"/>
      <c r="J54" s="8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8" s="5" customFormat="1">
      <c r="A55" s="10"/>
      <c r="B55" s="36"/>
      <c r="C55" s="7"/>
      <c r="D55" s="2"/>
      <c r="E55" s="2"/>
      <c r="F55" s="2"/>
      <c r="G55" s="7"/>
      <c r="H55" s="7"/>
      <c r="I55" s="7"/>
      <c r="J55" s="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8" s="5" customFormat="1">
      <c r="A56" s="10"/>
      <c r="B56" s="36"/>
      <c r="C56" s="9"/>
      <c r="D56" s="4"/>
      <c r="E56" s="4"/>
      <c r="F56" s="4"/>
      <c r="G56" s="9"/>
      <c r="H56" s="9"/>
      <c r="I56" s="9"/>
      <c r="J56" s="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8" s="5" customFormat="1">
      <c r="A57" s="10"/>
      <c r="B57" s="36"/>
      <c r="C57" s="9"/>
      <c r="D57" s="4"/>
      <c r="E57" s="4"/>
      <c r="F57" s="4"/>
      <c r="G57" s="9"/>
      <c r="H57" s="9"/>
      <c r="I57" s="9"/>
      <c r="J57" s="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8" s="5" customFormat="1">
      <c r="A58" s="10"/>
      <c r="B58" s="36"/>
      <c r="C58" s="10"/>
      <c r="G58" s="10"/>
      <c r="H58" s="10"/>
      <c r="I58" s="10"/>
      <c r="J58" s="10"/>
    </row>
    <row r="59" spans="1:28" s="5" customFormat="1">
      <c r="A59" s="10"/>
      <c r="B59" s="36"/>
      <c r="C59" s="7"/>
      <c r="D59" s="2"/>
      <c r="E59" s="2"/>
      <c r="F59" s="2"/>
      <c r="G59" s="7"/>
      <c r="H59" s="7"/>
      <c r="I59" s="7"/>
      <c r="J59" s="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s="5" customFormat="1">
      <c r="A60" s="10"/>
      <c r="B60" s="36"/>
      <c r="C60" s="7"/>
      <c r="D60" s="2"/>
      <c r="E60" s="2"/>
      <c r="F60" s="2"/>
      <c r="G60" s="7"/>
      <c r="H60" s="7"/>
      <c r="I60" s="7"/>
      <c r="J60" s="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8" s="5" customFormat="1">
      <c r="A61" s="10"/>
      <c r="B61" s="36"/>
      <c r="C61" s="7"/>
      <c r="D61" s="2"/>
      <c r="E61" s="2"/>
      <c r="F61" s="2"/>
      <c r="G61" s="7"/>
      <c r="H61" s="7"/>
      <c r="I61" s="7"/>
      <c r="J61" s="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8" s="5" customFormat="1">
      <c r="A62" s="10"/>
      <c r="B62" s="36"/>
      <c r="C62" s="8"/>
      <c r="D62" s="3"/>
      <c r="E62" s="3"/>
      <c r="F62" s="3"/>
      <c r="G62" s="8"/>
      <c r="H62" s="8"/>
      <c r="I62" s="8"/>
      <c r="J62" s="8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8" s="5" customFormat="1">
      <c r="A63" s="10"/>
      <c r="B63" s="36"/>
      <c r="C63" s="7"/>
      <c r="D63" s="2"/>
      <c r="E63" s="2"/>
      <c r="F63" s="2"/>
      <c r="G63" s="7"/>
      <c r="H63" s="7"/>
      <c r="I63" s="7"/>
      <c r="J63" s="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8" s="5" customFormat="1">
      <c r="A64" s="10"/>
      <c r="B64" s="36"/>
      <c r="C64" s="9"/>
      <c r="D64" s="4"/>
      <c r="E64" s="4"/>
      <c r="F64" s="4"/>
      <c r="G64" s="9"/>
      <c r="H64" s="9"/>
      <c r="I64" s="9"/>
      <c r="J64" s="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30" s="5" customFormat="1">
      <c r="A65" s="10"/>
      <c r="B65" s="36"/>
      <c r="C65" s="9"/>
      <c r="D65" s="4"/>
      <c r="E65" s="4"/>
      <c r="F65" s="4"/>
      <c r="G65" s="9"/>
      <c r="H65" s="9"/>
      <c r="I65" s="9"/>
      <c r="J65" s="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30" s="5" customFormat="1">
      <c r="A66" s="10"/>
      <c r="B66" s="36"/>
      <c r="C66" s="10"/>
      <c r="G66" s="10"/>
      <c r="H66" s="10"/>
      <c r="I66" s="10"/>
      <c r="J66" s="10"/>
    </row>
    <row r="67" spans="1:30" s="5" customFormat="1">
      <c r="A67" s="10"/>
      <c r="B67" s="36"/>
      <c r="C67" s="7"/>
      <c r="D67" s="2"/>
      <c r="E67" s="2"/>
      <c r="F67" s="2"/>
      <c r="G67" s="7"/>
      <c r="H67" s="7"/>
      <c r="I67" s="7"/>
      <c r="J67" s="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30" s="5" customFormat="1">
      <c r="A68" s="10"/>
      <c r="B68" s="36"/>
      <c r="C68" s="7"/>
      <c r="D68" s="2"/>
      <c r="E68" s="2"/>
      <c r="F68" s="2"/>
      <c r="G68" s="7"/>
      <c r="H68" s="7"/>
      <c r="I68" s="7"/>
      <c r="J68" s="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30" s="5" customFormat="1">
      <c r="A69" s="10"/>
      <c r="B69" s="36"/>
      <c r="C69" s="7"/>
      <c r="D69" s="2"/>
      <c r="E69" s="2"/>
      <c r="F69" s="2"/>
      <c r="G69" s="7"/>
      <c r="H69" s="7"/>
      <c r="I69" s="7"/>
      <c r="J69" s="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30" s="5" customFormat="1">
      <c r="A70" s="10"/>
      <c r="B70" s="36"/>
      <c r="C70" s="8"/>
      <c r="D70" s="3"/>
      <c r="E70" s="3"/>
      <c r="F70" s="3"/>
      <c r="G70" s="8"/>
      <c r="H70" s="8"/>
      <c r="I70" s="8"/>
      <c r="J70" s="8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30" s="5" customFormat="1">
      <c r="A71" s="10"/>
      <c r="B71" s="36"/>
      <c r="C71" s="7"/>
      <c r="D71" s="2"/>
      <c r="E71" s="2"/>
      <c r="F71" s="2"/>
      <c r="G71" s="7"/>
      <c r="H71" s="7"/>
      <c r="I71" s="7"/>
      <c r="J71" s="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30" s="5" customFormat="1">
      <c r="A72" s="10"/>
      <c r="B72" s="36"/>
      <c r="C72" s="9"/>
      <c r="D72" s="4"/>
      <c r="E72" s="4"/>
      <c r="F72" s="4"/>
      <c r="G72" s="9"/>
      <c r="H72" s="9"/>
      <c r="I72" s="9"/>
      <c r="J72" s="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30" s="5" customFormat="1">
      <c r="A73" s="10"/>
      <c r="B73" s="36"/>
      <c r="C73" s="9"/>
      <c r="D73" s="4"/>
      <c r="E73" s="4"/>
      <c r="F73" s="4"/>
      <c r="G73" s="9"/>
      <c r="H73" s="9"/>
      <c r="I73" s="9"/>
      <c r="J73" s="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30" s="5" customFormat="1">
      <c r="A74" s="10"/>
      <c r="B74" s="36"/>
    </row>
    <row r="75" spans="1:30" s="5" customFormat="1">
      <c r="A75" s="10"/>
      <c r="B75" s="3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s="5" customFormat="1">
      <c r="A76" s="10"/>
      <c r="B76" s="3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30" s="5" customFormat="1">
      <c r="A77" s="10"/>
      <c r="B77" s="3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30" s="5" customFormat="1">
      <c r="A78" s="10"/>
      <c r="B78" s="3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30" s="5" customFormat="1">
      <c r="A79" s="10"/>
      <c r="B79" s="3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30" s="5" customFormat="1">
      <c r="A80" s="10"/>
      <c r="B80" s="36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s="5" customFormat="1">
      <c r="A81" s="10"/>
      <c r="B81" s="36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s="5" customFormat="1">
      <c r="A82" s="10"/>
      <c r="B82" s="36"/>
    </row>
    <row r="83" spans="1:23" s="5" customFormat="1">
      <c r="A83" s="10"/>
      <c r="B83" s="36"/>
    </row>
    <row r="84" spans="1:23" s="5" customFormat="1">
      <c r="A84" s="10"/>
      <c r="B84" s="36"/>
    </row>
    <row r="85" spans="1:23" s="5" customFormat="1">
      <c r="A85" s="10"/>
      <c r="B85" s="36"/>
    </row>
    <row r="86" spans="1:23" s="5" customFormat="1">
      <c r="A86" s="10"/>
      <c r="B86" s="36"/>
    </row>
    <row r="87" spans="1:23" s="5" customFormat="1">
      <c r="A87" s="10"/>
      <c r="B87" s="36"/>
    </row>
    <row r="88" spans="1:23" s="5" customFormat="1">
      <c r="A88" s="10"/>
      <c r="B88" s="36"/>
    </row>
    <row r="89" spans="1:23" s="5" customFormat="1">
      <c r="A89" s="10"/>
      <c r="B89" s="36"/>
    </row>
    <row r="90" spans="1:23" s="5" customFormat="1">
      <c r="A90" s="10"/>
      <c r="B90" s="36"/>
    </row>
    <row r="91" spans="1:23" s="5" customFormat="1">
      <c r="A91" s="10"/>
      <c r="B91" s="36"/>
    </row>
    <row r="92" spans="1:23" s="5" customFormat="1">
      <c r="A92" s="10"/>
      <c r="B92" s="36"/>
    </row>
    <row r="93" spans="1:23" s="5" customFormat="1">
      <c r="A93" s="10"/>
      <c r="B93" s="36"/>
    </row>
    <row r="94" spans="1:23" s="5" customFormat="1">
      <c r="A94" s="10"/>
      <c r="B94" s="36"/>
    </row>
    <row r="95" spans="1:23" s="5" customFormat="1">
      <c r="A95" s="10"/>
      <c r="B95" s="36"/>
    </row>
    <row r="96" spans="1:23" s="5" customFormat="1">
      <c r="A96" s="10"/>
      <c r="B96" s="36"/>
    </row>
    <row r="97" spans="1:2" s="5" customFormat="1">
      <c r="A97" s="10"/>
      <c r="B97" s="36"/>
    </row>
    <row r="98" spans="1:2" s="5" customFormat="1">
      <c r="A98" s="10"/>
      <c r="B98" s="36"/>
    </row>
  </sheetData>
  <phoneticPr fontId="2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AA07-01A0-47F1-A476-595A4C6FE4C3}">
  <dimension ref="A1:AJ98"/>
  <sheetViews>
    <sheetView zoomScale="85" zoomScaleNormal="85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G8" sqref="AG8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39" t="s">
        <v>75</v>
      </c>
      <c r="B2" s="40"/>
      <c r="C2" s="41">
        <v>45387</v>
      </c>
      <c r="D2" s="42"/>
      <c r="E2" s="42"/>
      <c r="F2" s="42"/>
      <c r="G2" s="43"/>
      <c r="H2" s="43"/>
      <c r="I2" s="43"/>
      <c r="J2" s="43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spans="1:36">
      <c r="A3" s="44" t="s">
        <v>1</v>
      </c>
      <c r="B3" s="40" t="s">
        <v>2</v>
      </c>
      <c r="C3" s="43">
        <v>46080000</v>
      </c>
      <c r="D3" s="42"/>
      <c r="E3" s="42"/>
      <c r="F3" s="42"/>
      <c r="G3" s="43"/>
      <c r="H3" s="43"/>
      <c r="I3" s="43"/>
      <c r="J3" s="43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</row>
    <row r="4" spans="1:36">
      <c r="A4" s="44" t="s">
        <v>15</v>
      </c>
      <c r="B4" s="40" t="s">
        <v>2</v>
      </c>
      <c r="C4" s="43">
        <v>185000</v>
      </c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440554</v>
      </c>
      <c r="K4" s="43"/>
      <c r="L4" s="43">
        <v>194200</v>
      </c>
      <c r="M4" s="43">
        <v>194200</v>
      </c>
      <c r="N4" s="43">
        <v>194200</v>
      </c>
      <c r="O4" s="43">
        <v>194200</v>
      </c>
      <c r="P4" s="43">
        <v>194200</v>
      </c>
      <c r="Q4" s="43">
        <v>194200</v>
      </c>
      <c r="R4" s="43">
        <v>194200</v>
      </c>
      <c r="S4" s="43">
        <v>194200</v>
      </c>
      <c r="T4" s="43">
        <v>194200</v>
      </c>
      <c r="U4" s="43">
        <v>194200</v>
      </c>
      <c r="V4" s="43">
        <v>194200</v>
      </c>
      <c r="W4" s="43">
        <v>194200</v>
      </c>
      <c r="X4" s="43"/>
      <c r="Y4" s="43">
        <v>194200</v>
      </c>
      <c r="Z4" s="43">
        <v>194200</v>
      </c>
      <c r="AA4" s="43">
        <v>194200</v>
      </c>
      <c r="AB4" s="43">
        <v>194200</v>
      </c>
      <c r="AC4" s="43">
        <v>194200</v>
      </c>
      <c r="AD4" s="43">
        <v>194200</v>
      </c>
      <c r="AE4" s="43">
        <v>194200</v>
      </c>
      <c r="AF4" s="43">
        <v>194200</v>
      </c>
      <c r="AG4" s="43">
        <v>194200</v>
      </c>
      <c r="AH4" s="43"/>
      <c r="AI4" s="43"/>
      <c r="AJ4" s="43"/>
    </row>
    <row r="5" spans="1:36">
      <c r="A5" s="44" t="s">
        <v>4</v>
      </c>
      <c r="B5" s="40" t="s">
        <v>2</v>
      </c>
      <c r="C5" s="43"/>
      <c r="D5" s="43"/>
      <c r="E5" s="43"/>
      <c r="F5" s="43"/>
      <c r="G5" s="43">
        <v>32770</v>
      </c>
      <c r="H5" s="43">
        <v>32770</v>
      </c>
      <c r="I5" s="43">
        <v>32770</v>
      </c>
      <c r="J5" s="43">
        <v>32772</v>
      </c>
      <c r="K5" s="42"/>
      <c r="L5" s="43">
        <v>32770</v>
      </c>
      <c r="M5" s="43">
        <v>32770</v>
      </c>
      <c r="N5" s="43">
        <v>32770</v>
      </c>
      <c r="O5" s="43">
        <v>32770</v>
      </c>
      <c r="P5" s="43">
        <v>32770</v>
      </c>
      <c r="Q5" s="43">
        <v>32773</v>
      </c>
      <c r="R5" s="43">
        <v>32770</v>
      </c>
      <c r="S5" s="43">
        <v>32770</v>
      </c>
      <c r="T5" s="43">
        <v>32770</v>
      </c>
      <c r="U5" s="43">
        <v>32770</v>
      </c>
      <c r="V5" s="43">
        <v>32770</v>
      </c>
      <c r="W5" s="43">
        <v>32774</v>
      </c>
      <c r="X5" s="42"/>
      <c r="Y5" s="43">
        <v>32770</v>
      </c>
      <c r="Z5" s="43">
        <v>32770</v>
      </c>
      <c r="AA5" s="43">
        <v>32770</v>
      </c>
      <c r="AB5" s="43">
        <v>32770</v>
      </c>
      <c r="AC5" s="43">
        <v>32770</v>
      </c>
      <c r="AD5" s="43">
        <v>32773</v>
      </c>
      <c r="AE5" s="43">
        <v>32770</v>
      </c>
      <c r="AF5" s="43">
        <v>32770</v>
      </c>
      <c r="AG5" s="43">
        <v>32770</v>
      </c>
      <c r="AH5" s="43">
        <v>32770</v>
      </c>
      <c r="AI5" s="43">
        <v>32770</v>
      </c>
      <c r="AJ5" s="43">
        <v>32774</v>
      </c>
    </row>
    <row r="6" spans="1:36">
      <c r="A6" s="44" t="s">
        <v>5</v>
      </c>
      <c r="B6" s="40" t="s">
        <v>2</v>
      </c>
      <c r="C6" s="43">
        <v>17874873</v>
      </c>
      <c r="D6" s="43"/>
      <c r="E6" s="43"/>
      <c r="F6" s="43"/>
      <c r="G6" s="43">
        <f>SUM(C6-G5)</f>
        <v>17842103</v>
      </c>
      <c r="H6" s="43">
        <f t="shared" ref="H6:J6" si="0">SUM(G6-H5)</f>
        <v>17809333</v>
      </c>
      <c r="I6" s="43">
        <f t="shared" si="0"/>
        <v>17776563</v>
      </c>
      <c r="J6" s="43">
        <f t="shared" si="0"/>
        <v>17743791</v>
      </c>
      <c r="K6" s="42"/>
      <c r="L6" s="43">
        <f>SUM(J6-L5)</f>
        <v>17711021</v>
      </c>
      <c r="M6" s="43">
        <f t="shared" ref="M6:W6" si="1">SUM(L6-M5)</f>
        <v>17678251</v>
      </c>
      <c r="N6" s="43">
        <f t="shared" si="1"/>
        <v>17645481</v>
      </c>
      <c r="O6" s="43">
        <f t="shared" si="1"/>
        <v>17612711</v>
      </c>
      <c r="P6" s="43">
        <f t="shared" si="1"/>
        <v>17579941</v>
      </c>
      <c r="Q6" s="43">
        <f t="shared" si="1"/>
        <v>17547168</v>
      </c>
      <c r="R6" s="43">
        <f t="shared" si="1"/>
        <v>17514398</v>
      </c>
      <c r="S6" s="43">
        <f t="shared" si="1"/>
        <v>17481628</v>
      </c>
      <c r="T6" s="43">
        <f t="shared" si="1"/>
        <v>17448858</v>
      </c>
      <c r="U6" s="43">
        <f t="shared" si="1"/>
        <v>17416088</v>
      </c>
      <c r="V6" s="43">
        <f t="shared" si="1"/>
        <v>17383318</v>
      </c>
      <c r="W6" s="43">
        <f t="shared" si="1"/>
        <v>17350544</v>
      </c>
      <c r="X6" s="42"/>
      <c r="Y6" s="43">
        <f>SUM(W6-Y5)</f>
        <v>17317774</v>
      </c>
      <c r="Z6" s="43">
        <f t="shared" ref="Z6" si="2">SUM(Y6-Z5)</f>
        <v>17285004</v>
      </c>
      <c r="AA6" s="43">
        <f t="shared" ref="AA6" si="3">SUM(Z6-AA5)</f>
        <v>17252234</v>
      </c>
      <c r="AB6" s="43">
        <f t="shared" ref="AB6" si="4">SUM(AA6-AB5)</f>
        <v>17219464</v>
      </c>
      <c r="AC6" s="43">
        <f t="shared" ref="AC6" si="5">SUM(AB6-AC5)</f>
        <v>17186694</v>
      </c>
      <c r="AD6" s="43">
        <f t="shared" ref="AD6" si="6">SUM(AC6-AD5)</f>
        <v>17153921</v>
      </c>
      <c r="AE6" s="43">
        <f t="shared" ref="AE6" si="7">SUM(AD6-AE5)</f>
        <v>17121151</v>
      </c>
      <c r="AF6" s="43">
        <f t="shared" ref="AF6" si="8">SUM(AE6-AF5)</f>
        <v>17088381</v>
      </c>
      <c r="AG6" s="43">
        <f t="shared" ref="AG6" si="9">SUM(AF6-AG5)</f>
        <v>17055611</v>
      </c>
      <c r="AH6" s="43">
        <f t="shared" ref="AH6" si="10">SUM(AG6-AH5)</f>
        <v>17022841</v>
      </c>
      <c r="AI6" s="43">
        <f t="shared" ref="AI6" si="11">SUM(AH6-AI5)</f>
        <v>16990071</v>
      </c>
      <c r="AJ6" s="43">
        <f t="shared" ref="AJ6" si="12">SUM(AI6-AJ5)</f>
        <v>16957297</v>
      </c>
    </row>
    <row r="7" spans="1:36">
      <c r="A7" s="44" t="s">
        <v>16</v>
      </c>
      <c r="B7" s="40" t="s">
        <v>2</v>
      </c>
      <c r="C7" s="43">
        <v>27020</v>
      </c>
      <c r="D7" s="42"/>
      <c r="E7" s="42"/>
      <c r="F7" s="42"/>
      <c r="G7" s="43">
        <v>0</v>
      </c>
      <c r="H7" s="43">
        <v>27020</v>
      </c>
      <c r="I7" s="43">
        <v>27020</v>
      </c>
      <c r="J7" s="43">
        <v>27020</v>
      </c>
      <c r="K7" s="42"/>
      <c r="L7" s="43">
        <v>27020</v>
      </c>
      <c r="M7" s="43">
        <v>27020</v>
      </c>
      <c r="N7" s="43">
        <v>27020</v>
      </c>
      <c r="O7" s="43">
        <v>27020</v>
      </c>
      <c r="P7" s="43">
        <v>27020</v>
      </c>
      <c r="Q7" s="43">
        <v>27020</v>
      </c>
      <c r="R7" s="43">
        <v>27020</v>
      </c>
      <c r="S7" s="43">
        <v>27020</v>
      </c>
      <c r="T7" s="43">
        <v>27020</v>
      </c>
      <c r="U7" s="43">
        <v>27020</v>
      </c>
      <c r="V7" s="43">
        <v>27020</v>
      </c>
      <c r="W7" s="43">
        <v>27020</v>
      </c>
      <c r="X7" s="42"/>
      <c r="Y7" s="43">
        <v>27020</v>
      </c>
      <c r="Z7" s="43">
        <v>27020</v>
      </c>
      <c r="AA7" s="43">
        <v>27020</v>
      </c>
      <c r="AB7" s="43">
        <v>27020</v>
      </c>
      <c r="AC7" s="43">
        <v>27020</v>
      </c>
      <c r="AD7" s="43">
        <v>27020</v>
      </c>
      <c r="AE7" s="43">
        <v>27020</v>
      </c>
      <c r="AF7" s="43">
        <v>27020</v>
      </c>
      <c r="AG7" s="43">
        <v>27020</v>
      </c>
      <c r="AH7" s="43">
        <v>27020</v>
      </c>
      <c r="AI7" s="43">
        <v>27020</v>
      </c>
      <c r="AJ7" s="43">
        <v>27020</v>
      </c>
    </row>
    <row r="8" spans="1:36">
      <c r="A8" s="44" t="s">
        <v>7</v>
      </c>
      <c r="B8" s="40" t="s">
        <v>2</v>
      </c>
      <c r="C8" s="43"/>
      <c r="D8" s="42"/>
      <c r="E8" s="42"/>
      <c r="F8" s="42"/>
      <c r="G8" s="42">
        <v>0</v>
      </c>
      <c r="H8" s="42">
        <v>0</v>
      </c>
      <c r="I8" s="42">
        <v>0</v>
      </c>
      <c r="J8" s="42">
        <v>1786</v>
      </c>
      <c r="K8" s="42"/>
      <c r="L8" s="43">
        <v>4254</v>
      </c>
      <c r="M8" s="42">
        <v>4253</v>
      </c>
      <c r="N8" s="42">
        <v>4254</v>
      </c>
      <c r="O8" s="42">
        <v>4253</v>
      </c>
      <c r="P8" s="42">
        <v>4253</v>
      </c>
      <c r="Q8" s="42">
        <v>4254</v>
      </c>
      <c r="R8" s="42">
        <v>4254</v>
      </c>
      <c r="S8" s="42">
        <v>4254</v>
      </c>
      <c r="T8" s="42">
        <v>4254</v>
      </c>
      <c r="U8" s="42">
        <v>4254</v>
      </c>
      <c r="V8" s="42">
        <v>4254</v>
      </c>
      <c r="W8" s="42">
        <v>4254</v>
      </c>
      <c r="X8" s="42"/>
      <c r="Y8" s="43">
        <v>4254</v>
      </c>
      <c r="Z8" s="42">
        <v>4254</v>
      </c>
      <c r="AA8" s="42">
        <v>4254</v>
      </c>
      <c r="AB8" s="42">
        <v>4254</v>
      </c>
      <c r="AC8" s="42">
        <v>4254</v>
      </c>
      <c r="AD8" s="42">
        <v>4254</v>
      </c>
      <c r="AE8" s="42">
        <v>4254</v>
      </c>
      <c r="AF8" s="42">
        <v>4254</v>
      </c>
      <c r="AG8" s="42">
        <v>4254</v>
      </c>
      <c r="AH8" s="42"/>
      <c r="AI8" s="42"/>
      <c r="AJ8" s="42"/>
    </row>
    <row r="9" spans="1:36">
      <c r="A9" s="44" t="s">
        <v>8</v>
      </c>
      <c r="B9" s="40" t="s">
        <v>2</v>
      </c>
      <c r="C9" s="43">
        <v>608000</v>
      </c>
      <c r="D9" s="42">
        <v>0</v>
      </c>
      <c r="E9" s="42">
        <v>0</v>
      </c>
      <c r="F9" s="42"/>
      <c r="G9" s="43">
        <v>206000</v>
      </c>
      <c r="H9" s="43">
        <v>162800</v>
      </c>
      <c r="I9" s="43">
        <v>0</v>
      </c>
      <c r="J9" s="42">
        <v>192500</v>
      </c>
      <c r="K9" s="42"/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72393</v>
      </c>
      <c r="V9" s="42">
        <v>0</v>
      </c>
      <c r="W9" s="42">
        <v>0</v>
      </c>
      <c r="X9" s="42"/>
      <c r="Y9" s="42">
        <v>0</v>
      </c>
      <c r="Z9" s="42">
        <v>0</v>
      </c>
      <c r="AA9" s="42"/>
      <c r="AB9" s="42"/>
      <c r="AC9" s="42"/>
      <c r="AD9" s="42"/>
      <c r="AE9" s="42"/>
      <c r="AF9" s="42"/>
      <c r="AG9" s="42"/>
      <c r="AH9" s="42"/>
      <c r="AI9" s="42"/>
      <c r="AJ9" s="42"/>
    </row>
    <row r="10" spans="1:36">
      <c r="A10" s="44" t="s">
        <v>9</v>
      </c>
      <c r="B10" s="40" t="s">
        <v>2</v>
      </c>
      <c r="C10" s="45"/>
      <c r="D10" s="46"/>
      <c r="E10" s="46"/>
      <c r="F10" s="46"/>
      <c r="G10" s="45"/>
      <c r="H10" s="45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</row>
    <row r="11" spans="1:36">
      <c r="A11" s="44" t="s">
        <v>10</v>
      </c>
      <c r="B11" s="40" t="s">
        <v>2</v>
      </c>
      <c r="C11" s="47"/>
      <c r="D11" s="48"/>
      <c r="E11" s="48"/>
      <c r="F11" s="48"/>
      <c r="G11" s="47"/>
      <c r="H11" s="47"/>
      <c r="I11" s="47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</row>
    <row r="12" spans="1:36">
      <c r="A12" s="44" t="s">
        <v>11</v>
      </c>
      <c r="B12" s="40" t="s">
        <v>2</v>
      </c>
      <c r="C12" s="47"/>
      <c r="D12" s="48"/>
      <c r="E12" s="48"/>
      <c r="F12" s="48"/>
      <c r="G12" s="47"/>
      <c r="H12" s="47"/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</row>
    <row r="13" spans="1:36">
      <c r="A13" s="44" t="s">
        <v>12</v>
      </c>
      <c r="B13" s="40" t="s">
        <v>2</v>
      </c>
      <c r="C13" s="47"/>
      <c r="D13" s="49">
        <f>SUM(D4-D7-D8-D9)</f>
        <v>0</v>
      </c>
      <c r="E13" s="49">
        <f t="shared" ref="E13:J13" si="13">SUM(E4-E7-E8-E9)</f>
        <v>0</v>
      </c>
      <c r="F13" s="49">
        <f t="shared" si="13"/>
        <v>0</v>
      </c>
      <c r="G13" s="49">
        <f>SUM(G4-G7-G8-G9)</f>
        <v>-206000</v>
      </c>
      <c r="H13" s="49">
        <f t="shared" si="13"/>
        <v>-189820</v>
      </c>
      <c r="I13" s="49">
        <f t="shared" si="13"/>
        <v>-27020</v>
      </c>
      <c r="J13" s="49">
        <f t="shared" si="13"/>
        <v>219248</v>
      </c>
      <c r="K13" s="49"/>
      <c r="L13" s="49">
        <f>SUM(L4-L7-L8-L9)</f>
        <v>162926</v>
      </c>
      <c r="M13" s="49">
        <f t="shared" ref="M13:W13" si="14">SUM(M4-M7-M8-M9)</f>
        <v>162927</v>
      </c>
      <c r="N13" s="49">
        <f t="shared" si="14"/>
        <v>162926</v>
      </c>
      <c r="O13" s="49">
        <f t="shared" si="14"/>
        <v>162927</v>
      </c>
      <c r="P13" s="49">
        <f t="shared" si="14"/>
        <v>162927</v>
      </c>
      <c r="Q13" s="49">
        <f t="shared" si="14"/>
        <v>162926</v>
      </c>
      <c r="R13" s="49">
        <f t="shared" si="14"/>
        <v>162926</v>
      </c>
      <c r="S13" s="49">
        <f t="shared" si="14"/>
        <v>162926</v>
      </c>
      <c r="T13" s="49">
        <f t="shared" si="14"/>
        <v>162926</v>
      </c>
      <c r="U13" s="49">
        <f t="shared" si="14"/>
        <v>90533</v>
      </c>
      <c r="V13" s="49">
        <f t="shared" si="14"/>
        <v>162926</v>
      </c>
      <c r="W13" s="49">
        <f t="shared" si="14"/>
        <v>162926</v>
      </c>
      <c r="X13" s="49"/>
      <c r="Y13" s="49">
        <f>SUM(Y4-Y7-Y8-Y9)</f>
        <v>162926</v>
      </c>
      <c r="Z13" s="49">
        <f t="shared" ref="Z13:AJ13" si="15">SUM(Z4-Z7-Z8-Z9)</f>
        <v>162926</v>
      </c>
      <c r="AA13" s="49">
        <f t="shared" si="15"/>
        <v>162926</v>
      </c>
      <c r="AB13" s="49">
        <f t="shared" si="15"/>
        <v>162926</v>
      </c>
      <c r="AC13" s="49">
        <f t="shared" si="15"/>
        <v>162926</v>
      </c>
      <c r="AD13" s="49">
        <f t="shared" si="15"/>
        <v>162926</v>
      </c>
      <c r="AE13" s="49">
        <f t="shared" si="15"/>
        <v>162926</v>
      </c>
      <c r="AF13" s="49">
        <f t="shared" si="15"/>
        <v>162926</v>
      </c>
      <c r="AG13" s="49">
        <f t="shared" si="15"/>
        <v>162926</v>
      </c>
      <c r="AH13" s="49">
        <f t="shared" si="15"/>
        <v>-27020</v>
      </c>
      <c r="AI13" s="49">
        <f t="shared" si="15"/>
        <v>-27020</v>
      </c>
      <c r="AJ13" s="49">
        <f t="shared" si="15"/>
        <v>-27020</v>
      </c>
    </row>
    <row r="14" spans="1:36">
      <c r="A14" s="44" t="s">
        <v>13</v>
      </c>
      <c r="B14" s="40" t="s">
        <v>2</v>
      </c>
      <c r="C14" s="47"/>
      <c r="D14" s="48"/>
      <c r="E14" s="48"/>
      <c r="F14" s="48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</row>
    <row r="15" spans="1:36" s="5" customFormat="1">
      <c r="A15" s="70" t="s">
        <v>76</v>
      </c>
      <c r="B15" s="36"/>
      <c r="C15" s="7"/>
      <c r="D15" s="2"/>
      <c r="E15" s="2"/>
      <c r="F15" s="2"/>
      <c r="G15" s="7"/>
      <c r="H15" s="7"/>
      <c r="I15" s="7"/>
      <c r="J15" s="7" t="s">
        <v>77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 t="s">
        <v>65</v>
      </c>
      <c r="W15" s="2"/>
    </row>
    <row r="16" spans="1:36" s="5" customFormat="1">
      <c r="A16" s="10"/>
      <c r="B16" s="36"/>
      <c r="C16" s="9"/>
      <c r="D16" s="4"/>
      <c r="E16" s="4"/>
      <c r="F16" s="4"/>
      <c r="G16" s="9"/>
      <c r="H16" s="9"/>
      <c r="I16" s="9"/>
      <c r="J16" s="9" t="s">
        <v>78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90">
        <v>27020</v>
      </c>
    </row>
    <row r="17" spans="1:24" s="5" customFormat="1">
      <c r="A17" s="10"/>
      <c r="B17" s="36"/>
      <c r="C17" s="9"/>
      <c r="D17" s="4"/>
      <c r="E17" s="4"/>
      <c r="F17" s="4"/>
      <c r="G17" s="9"/>
      <c r="H17" s="9"/>
      <c r="I17" s="9"/>
      <c r="J17" s="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4" s="5" customFormat="1">
      <c r="A18" s="10"/>
      <c r="B18" s="36"/>
      <c r="C18" s="7"/>
      <c r="D18" s="2"/>
      <c r="E18" s="2"/>
      <c r="F18" s="2"/>
      <c r="G18" s="7"/>
      <c r="H18" s="7"/>
      <c r="I18" s="7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4" s="5" customFormat="1">
      <c r="A19" s="10"/>
      <c r="B19" s="36"/>
      <c r="C19" s="7"/>
      <c r="D19" s="2"/>
      <c r="E19" s="2"/>
      <c r="F19" s="2"/>
      <c r="G19" s="7"/>
      <c r="H19" s="7"/>
      <c r="I19" s="7"/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4" s="5" customFormat="1">
      <c r="A20" s="10"/>
      <c r="B20" s="36"/>
      <c r="C20" s="7"/>
      <c r="D20" s="2"/>
      <c r="E20" s="2"/>
      <c r="F20" s="2"/>
      <c r="G20" s="7"/>
      <c r="H20" s="7"/>
      <c r="I20" s="7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4" s="5" customFormat="1">
      <c r="A21" s="10"/>
      <c r="B21" s="36"/>
      <c r="C21" s="7"/>
      <c r="D21" s="2"/>
      <c r="E21" s="2"/>
      <c r="F21" s="2"/>
      <c r="G21" s="7"/>
      <c r="H21" s="7"/>
      <c r="I21" s="7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4" s="5" customFormat="1">
      <c r="A22" s="10"/>
      <c r="B22" s="36"/>
      <c r="C22" s="8"/>
      <c r="D22" s="3"/>
      <c r="E22" s="3"/>
      <c r="F22" s="3"/>
      <c r="G22" s="8"/>
      <c r="H22" s="8"/>
      <c r="I22" s="8"/>
      <c r="J22" s="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4" s="5" customFormat="1">
      <c r="A23" s="10"/>
      <c r="B23" s="36"/>
      <c r="C23" s="7"/>
      <c r="D23" s="2"/>
      <c r="E23" s="2"/>
      <c r="F23" s="2"/>
      <c r="G23" s="7"/>
      <c r="H23" s="7"/>
      <c r="I23" s="7"/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4" s="5" customFormat="1">
      <c r="A24" s="10"/>
      <c r="B24" s="36"/>
      <c r="C24" s="9"/>
      <c r="D24" s="4"/>
      <c r="E24" s="4"/>
      <c r="F24" s="4"/>
      <c r="G24" s="9"/>
      <c r="H24" s="9"/>
      <c r="I24" s="9"/>
      <c r="J24" s="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4" s="5" customFormat="1">
      <c r="A25" s="10"/>
      <c r="B25" s="36"/>
      <c r="C25" s="9"/>
      <c r="D25" s="4"/>
      <c r="E25" s="4"/>
      <c r="F25" s="4"/>
      <c r="G25" s="9"/>
      <c r="H25" s="9"/>
      <c r="I25" s="9"/>
      <c r="J25" s="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4" s="5" customFormat="1">
      <c r="A26" s="10"/>
      <c r="B26" s="36"/>
      <c r="C26" s="7"/>
      <c r="D26" s="2"/>
      <c r="E26" s="2"/>
      <c r="F26" s="2"/>
      <c r="G26" s="7"/>
      <c r="H26" s="7"/>
      <c r="I26" s="7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4" s="5" customFormat="1">
      <c r="A27" s="10"/>
      <c r="B27" s="36"/>
      <c r="C27" s="7"/>
      <c r="D27" s="2"/>
      <c r="E27" s="2"/>
      <c r="F27" s="2"/>
      <c r="G27" s="7"/>
      <c r="H27" s="7"/>
      <c r="I27" s="7"/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s="5" customFormat="1">
      <c r="A28" s="10"/>
      <c r="B28" s="36"/>
      <c r="C28" s="7"/>
      <c r="D28" s="2"/>
      <c r="E28" s="2"/>
      <c r="F28" s="2"/>
      <c r="G28" s="7"/>
      <c r="H28" s="7"/>
      <c r="I28" s="7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4" s="5" customFormat="1">
      <c r="A29" s="10"/>
      <c r="B29" s="36"/>
      <c r="C29" s="7"/>
      <c r="D29" s="2"/>
      <c r="E29" s="2"/>
      <c r="F29" s="2"/>
      <c r="G29" s="7"/>
      <c r="H29" s="7"/>
      <c r="I29" s="7"/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4" s="5" customFormat="1">
      <c r="A30" s="10"/>
      <c r="B30" s="36"/>
      <c r="C30" s="8"/>
      <c r="D30" s="3"/>
      <c r="E30" s="3"/>
      <c r="F30" s="3"/>
      <c r="G30" s="8"/>
      <c r="H30" s="8"/>
      <c r="I30" s="8"/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4" s="5" customFormat="1">
      <c r="A31" s="10"/>
      <c r="B31" s="36"/>
      <c r="C31" s="7"/>
      <c r="D31" s="2"/>
      <c r="E31" s="2"/>
      <c r="F31" s="2"/>
      <c r="G31" s="7"/>
      <c r="H31" s="7"/>
      <c r="I31" s="7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4" s="5" customFormat="1">
      <c r="A32" s="10"/>
      <c r="B32" s="36"/>
      <c r="C32" s="9"/>
      <c r="D32" s="4"/>
      <c r="E32" s="4"/>
      <c r="F32" s="4"/>
      <c r="G32" s="9"/>
      <c r="H32" s="9"/>
      <c r="I32" s="9"/>
      <c r="J32" s="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6" s="5" customFormat="1">
      <c r="A33" s="10"/>
      <c r="B33" s="36"/>
      <c r="C33" s="9"/>
      <c r="D33" s="4"/>
      <c r="E33" s="4"/>
      <c r="F33" s="4"/>
      <c r="G33" s="9"/>
      <c r="H33" s="9"/>
      <c r="I33" s="9"/>
      <c r="J33" s="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6" s="5" customFormat="1">
      <c r="A34" s="10"/>
      <c r="B34" s="36"/>
      <c r="C34" s="7"/>
      <c r="D34" s="2"/>
      <c r="E34" s="2"/>
      <c r="F34" s="2"/>
      <c r="G34" s="7"/>
      <c r="H34" s="7"/>
      <c r="I34" s="7"/>
      <c r="J34" s="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6" s="5" customFormat="1">
      <c r="A35" s="10"/>
      <c r="B35" s="36"/>
      <c r="C35" s="7"/>
      <c r="D35" s="2"/>
      <c r="E35" s="2"/>
      <c r="F35" s="2"/>
      <c r="G35" s="7"/>
      <c r="H35" s="7"/>
      <c r="I35" s="7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6" s="5" customFormat="1">
      <c r="A36" s="10"/>
      <c r="B36" s="36"/>
      <c r="C36" s="7"/>
      <c r="D36" s="2"/>
      <c r="E36" s="2"/>
      <c r="F36" s="2"/>
      <c r="G36" s="7"/>
      <c r="H36" s="7"/>
      <c r="I36" s="7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6" s="5" customFormat="1">
      <c r="A37" s="10"/>
      <c r="B37" s="36"/>
      <c r="C37" s="7"/>
      <c r="D37" s="2"/>
      <c r="E37" s="2"/>
      <c r="F37" s="2"/>
      <c r="G37" s="7"/>
      <c r="H37" s="7"/>
      <c r="I37" s="7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6" s="5" customFormat="1">
      <c r="A38" s="10"/>
      <c r="B38" s="36"/>
      <c r="C38" s="8"/>
      <c r="D38" s="3"/>
      <c r="E38" s="3"/>
      <c r="F38" s="3"/>
      <c r="G38" s="8"/>
      <c r="H38" s="8"/>
      <c r="I38" s="8"/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6" s="5" customFormat="1">
      <c r="A39" s="10"/>
      <c r="B39" s="36"/>
      <c r="C39" s="7"/>
      <c r="D39" s="2"/>
      <c r="E39" s="2"/>
      <c r="F39" s="2"/>
      <c r="G39" s="7"/>
      <c r="H39" s="7"/>
      <c r="I39" s="7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6" s="5" customFormat="1">
      <c r="A40" s="10"/>
      <c r="B40" s="36"/>
      <c r="C40" s="9"/>
      <c r="D40" s="4"/>
      <c r="E40" s="4"/>
      <c r="F40" s="4"/>
      <c r="G40" s="9"/>
      <c r="H40" s="9"/>
      <c r="I40" s="9"/>
      <c r="J40" s="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6" s="5" customFormat="1">
      <c r="A41" s="10"/>
      <c r="B41" s="36"/>
      <c r="C41" s="9"/>
      <c r="D41" s="4"/>
      <c r="E41" s="4"/>
      <c r="F41" s="4"/>
      <c r="G41" s="9"/>
      <c r="H41" s="9"/>
      <c r="I41" s="9"/>
      <c r="J41" s="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6" s="5" customFormat="1">
      <c r="A42" s="10"/>
      <c r="B42" s="36"/>
      <c r="C42" s="10"/>
      <c r="G42" s="10"/>
      <c r="H42" s="10"/>
      <c r="I42" s="10"/>
      <c r="J42" s="10"/>
    </row>
    <row r="43" spans="1:26" s="5" customFormat="1">
      <c r="A43" s="10"/>
      <c r="B43" s="36"/>
      <c r="C43" s="7"/>
      <c r="D43" s="2"/>
      <c r="E43" s="2"/>
      <c r="F43" s="2"/>
      <c r="G43" s="7"/>
      <c r="H43" s="7"/>
      <c r="I43" s="7"/>
      <c r="J43" s="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s="5" customFormat="1">
      <c r="A44" s="10"/>
      <c r="B44" s="36"/>
      <c r="C44" s="7"/>
      <c r="D44" s="2"/>
      <c r="E44" s="2"/>
      <c r="F44" s="2"/>
      <c r="G44" s="7"/>
      <c r="H44" s="7"/>
      <c r="I44" s="7"/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6" s="5" customFormat="1">
      <c r="A45" s="10"/>
      <c r="B45" s="36"/>
      <c r="C45" s="7"/>
      <c r="D45" s="2"/>
      <c r="E45" s="2"/>
      <c r="F45" s="2"/>
      <c r="G45" s="7"/>
      <c r="H45" s="7"/>
      <c r="I45" s="7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6" s="5" customFormat="1">
      <c r="A46" s="10"/>
      <c r="B46" s="36"/>
      <c r="C46" s="8"/>
      <c r="D46" s="3"/>
      <c r="E46" s="3"/>
      <c r="F46" s="3"/>
      <c r="G46" s="8"/>
      <c r="H46" s="8"/>
      <c r="I46" s="8"/>
      <c r="J46" s="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6" s="5" customFormat="1">
      <c r="A47" s="10"/>
      <c r="B47" s="36"/>
      <c r="C47" s="7"/>
      <c r="D47" s="2"/>
      <c r="E47" s="2"/>
      <c r="F47" s="2"/>
      <c r="G47" s="7"/>
      <c r="H47" s="7"/>
      <c r="I47" s="7"/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6" s="5" customFormat="1">
      <c r="A48" s="10"/>
      <c r="B48" s="36"/>
      <c r="C48" s="9"/>
      <c r="D48" s="4"/>
      <c r="E48" s="4"/>
      <c r="F48" s="4"/>
      <c r="G48" s="9"/>
      <c r="H48" s="9"/>
      <c r="I48" s="9"/>
      <c r="J48" s="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8" s="5" customFormat="1">
      <c r="A49" s="10"/>
      <c r="B49" s="36"/>
      <c r="C49" s="9"/>
      <c r="D49" s="4"/>
      <c r="E49" s="4"/>
      <c r="F49" s="4"/>
      <c r="G49" s="9"/>
      <c r="H49" s="9"/>
      <c r="I49" s="9"/>
      <c r="J49" s="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8" s="5" customFormat="1">
      <c r="A50" s="10"/>
      <c r="B50" s="36"/>
      <c r="C50" s="10"/>
      <c r="G50" s="10"/>
      <c r="H50" s="10"/>
      <c r="I50" s="10"/>
      <c r="J50" s="10"/>
    </row>
    <row r="51" spans="1:28" s="5" customFormat="1">
      <c r="A51" s="10"/>
      <c r="B51" s="36"/>
      <c r="C51" s="7"/>
      <c r="D51" s="2"/>
      <c r="E51" s="2"/>
      <c r="F51" s="2"/>
      <c r="G51" s="7"/>
      <c r="H51" s="7"/>
      <c r="I51" s="7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8" s="5" customFormat="1">
      <c r="A52" s="10"/>
      <c r="B52" s="36"/>
      <c r="C52" s="7"/>
      <c r="D52" s="2"/>
      <c r="E52" s="2"/>
      <c r="F52" s="2"/>
      <c r="G52" s="7"/>
      <c r="H52" s="7"/>
      <c r="I52" s="7"/>
      <c r="J52" s="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8" s="5" customFormat="1">
      <c r="A53" s="10"/>
      <c r="B53" s="36"/>
      <c r="C53" s="7"/>
      <c r="D53" s="2"/>
      <c r="E53" s="2"/>
      <c r="F53" s="2"/>
      <c r="G53" s="7"/>
      <c r="H53" s="7"/>
      <c r="I53" s="7"/>
      <c r="J53" s="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8" s="5" customFormat="1">
      <c r="A54" s="10"/>
      <c r="B54" s="36"/>
      <c r="C54" s="8"/>
      <c r="D54" s="3"/>
      <c r="E54" s="3"/>
      <c r="F54" s="3"/>
      <c r="G54" s="8"/>
      <c r="H54" s="8"/>
      <c r="I54" s="8"/>
      <c r="J54" s="8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8" s="5" customFormat="1">
      <c r="A55" s="10"/>
      <c r="B55" s="36"/>
      <c r="C55" s="7"/>
      <c r="D55" s="2"/>
      <c r="E55" s="2"/>
      <c r="F55" s="2"/>
      <c r="G55" s="7"/>
      <c r="H55" s="7"/>
      <c r="I55" s="7"/>
      <c r="J55" s="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8" s="5" customFormat="1">
      <c r="A56" s="10"/>
      <c r="B56" s="36"/>
      <c r="C56" s="9"/>
      <c r="D56" s="4"/>
      <c r="E56" s="4"/>
      <c r="F56" s="4"/>
      <c r="G56" s="9"/>
      <c r="H56" s="9"/>
      <c r="I56" s="9"/>
      <c r="J56" s="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8" s="5" customFormat="1">
      <c r="A57" s="10"/>
      <c r="B57" s="36"/>
      <c r="C57" s="9"/>
      <c r="D57" s="4"/>
      <c r="E57" s="4"/>
      <c r="F57" s="4"/>
      <c r="G57" s="9"/>
      <c r="H57" s="9"/>
      <c r="I57" s="9"/>
      <c r="J57" s="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8" s="5" customFormat="1">
      <c r="A58" s="10"/>
      <c r="B58" s="36"/>
      <c r="C58" s="10"/>
      <c r="G58" s="10"/>
      <c r="H58" s="10"/>
      <c r="I58" s="10"/>
      <c r="J58" s="10"/>
    </row>
    <row r="59" spans="1:28" s="5" customFormat="1">
      <c r="A59" s="10"/>
      <c r="B59" s="36"/>
      <c r="C59" s="7"/>
      <c r="D59" s="2"/>
      <c r="E59" s="2"/>
      <c r="F59" s="2"/>
      <c r="G59" s="7"/>
      <c r="H59" s="7"/>
      <c r="I59" s="7"/>
      <c r="J59" s="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s="5" customFormat="1">
      <c r="A60" s="10"/>
      <c r="B60" s="36"/>
      <c r="C60" s="7"/>
      <c r="D60" s="2"/>
      <c r="E60" s="2"/>
      <c r="F60" s="2"/>
      <c r="G60" s="7"/>
      <c r="H60" s="7"/>
      <c r="I60" s="7"/>
      <c r="J60" s="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8" s="5" customFormat="1">
      <c r="A61" s="10"/>
      <c r="B61" s="36"/>
      <c r="C61" s="7"/>
      <c r="D61" s="2"/>
      <c r="E61" s="2"/>
      <c r="F61" s="2"/>
      <c r="G61" s="7"/>
      <c r="H61" s="7"/>
      <c r="I61" s="7"/>
      <c r="J61" s="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8" s="5" customFormat="1">
      <c r="A62" s="10"/>
      <c r="B62" s="36"/>
      <c r="C62" s="8"/>
      <c r="D62" s="3"/>
      <c r="E62" s="3"/>
      <c r="F62" s="3"/>
      <c r="G62" s="8"/>
      <c r="H62" s="8"/>
      <c r="I62" s="8"/>
      <c r="J62" s="8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8" s="5" customFormat="1">
      <c r="A63" s="10"/>
      <c r="B63" s="36"/>
      <c r="C63" s="7"/>
      <c r="D63" s="2"/>
      <c r="E63" s="2"/>
      <c r="F63" s="2"/>
      <c r="G63" s="7"/>
      <c r="H63" s="7"/>
      <c r="I63" s="7"/>
      <c r="J63" s="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8" s="5" customFormat="1">
      <c r="A64" s="10"/>
      <c r="B64" s="36"/>
      <c r="C64" s="9"/>
      <c r="D64" s="4"/>
      <c r="E64" s="4"/>
      <c r="F64" s="4"/>
      <c r="G64" s="9"/>
      <c r="H64" s="9"/>
      <c r="I64" s="9"/>
      <c r="J64" s="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30" s="5" customFormat="1">
      <c r="A65" s="10"/>
      <c r="B65" s="36"/>
      <c r="C65" s="9"/>
      <c r="D65" s="4"/>
      <c r="E65" s="4"/>
      <c r="F65" s="4"/>
      <c r="G65" s="9"/>
      <c r="H65" s="9"/>
      <c r="I65" s="9"/>
      <c r="J65" s="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30" s="5" customFormat="1">
      <c r="A66" s="10"/>
      <c r="B66" s="36"/>
      <c r="C66" s="10"/>
      <c r="G66" s="10"/>
      <c r="H66" s="10"/>
      <c r="I66" s="10"/>
      <c r="J66" s="10"/>
    </row>
    <row r="67" spans="1:30" s="5" customFormat="1">
      <c r="A67" s="10"/>
      <c r="B67" s="36"/>
      <c r="C67" s="7"/>
      <c r="D67" s="2"/>
      <c r="E67" s="2"/>
      <c r="F67" s="2"/>
      <c r="G67" s="7"/>
      <c r="H67" s="7"/>
      <c r="I67" s="7"/>
      <c r="J67" s="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30" s="5" customFormat="1">
      <c r="A68" s="10"/>
      <c r="B68" s="36"/>
      <c r="C68" s="7"/>
      <c r="D68" s="2"/>
      <c r="E68" s="2"/>
      <c r="F68" s="2"/>
      <c r="G68" s="7"/>
      <c r="H68" s="7"/>
      <c r="I68" s="7"/>
      <c r="J68" s="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30" s="5" customFormat="1">
      <c r="A69" s="10"/>
      <c r="B69" s="36"/>
      <c r="C69" s="7"/>
      <c r="D69" s="2"/>
      <c r="E69" s="2"/>
      <c r="F69" s="2"/>
      <c r="G69" s="7"/>
      <c r="H69" s="7"/>
      <c r="I69" s="7"/>
      <c r="J69" s="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30" s="5" customFormat="1">
      <c r="A70" s="10"/>
      <c r="B70" s="36"/>
      <c r="C70" s="8"/>
      <c r="D70" s="3"/>
      <c r="E70" s="3"/>
      <c r="F70" s="3"/>
      <c r="G70" s="8"/>
      <c r="H70" s="8"/>
      <c r="I70" s="8"/>
      <c r="J70" s="8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30" s="5" customFormat="1">
      <c r="A71" s="10"/>
      <c r="B71" s="36"/>
      <c r="C71" s="7"/>
      <c r="D71" s="2"/>
      <c r="E71" s="2"/>
      <c r="F71" s="2"/>
      <c r="G71" s="7"/>
      <c r="H71" s="7"/>
      <c r="I71" s="7"/>
      <c r="J71" s="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30" s="5" customFormat="1">
      <c r="A72" s="10"/>
      <c r="B72" s="36"/>
      <c r="C72" s="9"/>
      <c r="D72" s="4"/>
      <c r="E72" s="4"/>
      <c r="F72" s="4"/>
      <c r="G72" s="9"/>
      <c r="H72" s="9"/>
      <c r="I72" s="9"/>
      <c r="J72" s="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30" s="5" customFormat="1">
      <c r="A73" s="10"/>
      <c r="B73" s="36"/>
      <c r="C73" s="9"/>
      <c r="D73" s="4"/>
      <c r="E73" s="4"/>
      <c r="F73" s="4"/>
      <c r="G73" s="9"/>
      <c r="H73" s="9"/>
      <c r="I73" s="9"/>
      <c r="J73" s="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30" s="5" customFormat="1">
      <c r="A74" s="10"/>
      <c r="B74" s="36"/>
    </row>
    <row r="75" spans="1:30" s="5" customFormat="1">
      <c r="A75" s="10"/>
      <c r="B75" s="3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s="5" customFormat="1">
      <c r="A76" s="10"/>
      <c r="B76" s="3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30" s="5" customFormat="1">
      <c r="A77" s="10"/>
      <c r="B77" s="3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30" s="5" customFormat="1">
      <c r="A78" s="10"/>
      <c r="B78" s="3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30" s="5" customFormat="1">
      <c r="A79" s="10"/>
      <c r="B79" s="3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30" s="5" customFormat="1">
      <c r="A80" s="10"/>
      <c r="B80" s="36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s="5" customFormat="1">
      <c r="A81" s="10"/>
      <c r="B81" s="36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s="5" customFormat="1">
      <c r="A82" s="10"/>
      <c r="B82" s="36"/>
    </row>
    <row r="83" spans="1:23" s="5" customFormat="1">
      <c r="A83" s="10"/>
      <c r="B83" s="36"/>
    </row>
    <row r="84" spans="1:23" s="5" customFormat="1">
      <c r="A84" s="10"/>
      <c r="B84" s="36"/>
    </row>
    <row r="85" spans="1:23" s="5" customFormat="1">
      <c r="A85" s="10"/>
      <c r="B85" s="36"/>
    </row>
    <row r="86" spans="1:23" s="5" customFormat="1">
      <c r="A86" s="10"/>
      <c r="B86" s="36"/>
    </row>
    <row r="87" spans="1:23" s="5" customFormat="1">
      <c r="A87" s="10"/>
      <c r="B87" s="36"/>
    </row>
    <row r="88" spans="1:23" s="5" customFormat="1">
      <c r="A88" s="10"/>
      <c r="B88" s="36"/>
    </row>
    <row r="89" spans="1:23" s="5" customFormat="1">
      <c r="A89" s="10"/>
      <c r="B89" s="36"/>
    </row>
    <row r="90" spans="1:23" s="5" customFormat="1">
      <c r="A90" s="10"/>
      <c r="B90" s="36"/>
    </row>
    <row r="91" spans="1:23" s="5" customFormat="1">
      <c r="A91" s="10"/>
      <c r="B91" s="36"/>
    </row>
    <row r="92" spans="1:23" s="5" customFormat="1">
      <c r="A92" s="10"/>
      <c r="B92" s="36"/>
    </row>
    <row r="93" spans="1:23" s="5" customFormat="1">
      <c r="A93" s="10"/>
      <c r="B93" s="36"/>
    </row>
    <row r="94" spans="1:23" s="5" customFormat="1">
      <c r="A94" s="10"/>
      <c r="B94" s="36"/>
    </row>
    <row r="95" spans="1:23" s="5" customFormat="1">
      <c r="A95" s="10"/>
      <c r="B95" s="36"/>
    </row>
    <row r="96" spans="1:23" s="5" customFormat="1">
      <c r="A96" s="10"/>
      <c r="B96" s="36"/>
    </row>
    <row r="97" spans="1:2" s="5" customFormat="1">
      <c r="A97" s="10"/>
      <c r="B97" s="36"/>
    </row>
    <row r="98" spans="1:2" s="5" customFormat="1">
      <c r="A98" s="10"/>
      <c r="B98" s="36"/>
    </row>
  </sheetData>
  <phoneticPr fontId="2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174A-7960-4770-8D57-9E7F5C2FDCA4}">
  <dimension ref="A1:H24"/>
  <sheetViews>
    <sheetView workbookViewId="0">
      <selection activeCell="E19" sqref="E19"/>
    </sheetView>
  </sheetViews>
  <sheetFormatPr defaultRowHeight="18"/>
  <cols>
    <col min="1" max="1" width="5.09765625" customWidth="1"/>
    <col min="2" max="2" width="16.09765625" customWidth="1"/>
    <col min="3" max="3" width="8.5" bestFit="1" customWidth="1"/>
    <col min="4" max="4" width="7.5" bestFit="1" customWidth="1"/>
    <col min="5" max="5" width="8.3984375" customWidth="1"/>
    <col min="6" max="6" width="7.09765625" bestFit="1" customWidth="1"/>
    <col min="7" max="7" width="21.5" customWidth="1"/>
    <col min="10" max="10" width="8.69921875" customWidth="1"/>
  </cols>
  <sheetData>
    <row r="1" spans="1:8">
      <c r="A1" s="33" t="s">
        <v>79</v>
      </c>
      <c r="B1" s="33" t="s">
        <v>80</v>
      </c>
      <c r="C1" s="33" t="s">
        <v>81</v>
      </c>
      <c r="D1" s="33" t="s">
        <v>82</v>
      </c>
      <c r="E1" s="33" t="s">
        <v>83</v>
      </c>
      <c r="F1" s="33" t="s">
        <v>84</v>
      </c>
      <c r="G1" t="s">
        <v>85</v>
      </c>
      <c r="H1" s="74" t="s">
        <v>86</v>
      </c>
    </row>
    <row r="2" spans="1:8">
      <c r="A2" s="64">
        <v>723</v>
      </c>
      <c r="B2" s="65" t="s">
        <v>87</v>
      </c>
      <c r="C2" s="79">
        <v>211000</v>
      </c>
      <c r="D2" s="79">
        <v>10000</v>
      </c>
      <c r="E2" s="79"/>
      <c r="F2" s="79"/>
      <c r="G2" s="80">
        <v>4862</v>
      </c>
    </row>
    <row r="3" spans="1:8">
      <c r="A3" s="68"/>
      <c r="C3" s="81"/>
      <c r="D3" s="81"/>
      <c r="E3" s="81">
        <v>8000</v>
      </c>
      <c r="F3" s="81"/>
      <c r="G3" s="82">
        <v>175</v>
      </c>
    </row>
    <row r="4" spans="1:8">
      <c r="A4" s="66"/>
      <c r="B4" s="67"/>
      <c r="C4" s="83"/>
      <c r="D4" s="83"/>
      <c r="E4" s="83"/>
      <c r="F4" s="83">
        <v>91</v>
      </c>
      <c r="G4" s="84">
        <v>1</v>
      </c>
    </row>
    <row r="5" spans="1:8">
      <c r="A5" s="64">
        <v>817</v>
      </c>
      <c r="B5" s="65" t="s">
        <v>58</v>
      </c>
      <c r="C5" s="79">
        <v>212000</v>
      </c>
      <c r="D5" s="79">
        <v>10000</v>
      </c>
      <c r="E5" s="79"/>
      <c r="F5" s="79"/>
      <c r="G5" s="80">
        <v>4884</v>
      </c>
    </row>
    <row r="6" spans="1:8">
      <c r="A6" s="66"/>
      <c r="B6" s="67"/>
      <c r="C6" s="83"/>
      <c r="D6" s="83"/>
      <c r="E6" s="83">
        <v>8182</v>
      </c>
      <c r="F6" s="83"/>
      <c r="G6" s="84">
        <v>180</v>
      </c>
      <c r="H6" t="s">
        <v>88</v>
      </c>
    </row>
    <row r="7" spans="1:8">
      <c r="A7" s="64">
        <v>1217</v>
      </c>
      <c r="B7" s="65" t="s">
        <v>89</v>
      </c>
      <c r="C7" s="79">
        <v>222000</v>
      </c>
      <c r="D7" s="79">
        <v>10000</v>
      </c>
      <c r="E7" s="79"/>
      <c r="F7" s="79"/>
      <c r="G7" s="80">
        <v>5104</v>
      </c>
    </row>
    <row r="8" spans="1:8">
      <c r="A8" s="66"/>
      <c r="B8" s="67"/>
      <c r="C8" s="83"/>
      <c r="D8" s="83"/>
      <c r="E8" s="83"/>
      <c r="F8" s="83">
        <v>182</v>
      </c>
      <c r="G8" s="84">
        <v>4</v>
      </c>
      <c r="H8" t="s">
        <v>88</v>
      </c>
    </row>
    <row r="9" spans="1:8">
      <c r="A9" s="64">
        <v>1331</v>
      </c>
      <c r="B9" s="65" t="s">
        <v>90</v>
      </c>
      <c r="C9" s="79">
        <v>174000</v>
      </c>
      <c r="D9" s="79">
        <v>10000</v>
      </c>
      <c r="E9" s="79"/>
      <c r="F9" s="79"/>
      <c r="G9" s="80">
        <v>4048</v>
      </c>
    </row>
    <row r="10" spans="1:8">
      <c r="A10" s="66"/>
      <c r="B10" s="67"/>
      <c r="C10" s="83"/>
      <c r="D10" s="83"/>
      <c r="E10" s="83">
        <v>8182</v>
      </c>
      <c r="F10" s="83"/>
      <c r="G10" s="84">
        <v>180</v>
      </c>
      <c r="H10" t="s">
        <v>88</v>
      </c>
    </row>
    <row r="11" spans="1:8">
      <c r="A11" s="64">
        <v>1431</v>
      </c>
      <c r="B11" s="65" t="s">
        <v>78</v>
      </c>
      <c r="C11" s="79">
        <v>175000</v>
      </c>
      <c r="D11" s="79">
        <v>10000</v>
      </c>
      <c r="E11" s="79"/>
      <c r="F11" s="79"/>
      <c r="G11" s="80">
        <v>4070</v>
      </c>
    </row>
    <row r="12" spans="1:8">
      <c r="A12" s="68"/>
      <c r="C12" s="81"/>
      <c r="D12" s="81"/>
      <c r="E12" s="81">
        <v>8182</v>
      </c>
      <c r="F12" s="81"/>
      <c r="G12" s="82">
        <v>180</v>
      </c>
      <c r="H12" t="s">
        <v>88</v>
      </c>
    </row>
    <row r="13" spans="1:8">
      <c r="A13" s="66"/>
      <c r="B13" s="67"/>
      <c r="C13" s="83"/>
      <c r="D13" s="83"/>
      <c r="E13" s="83"/>
      <c r="F13" s="83">
        <v>182</v>
      </c>
      <c r="G13" s="84">
        <v>4</v>
      </c>
      <c r="H13" t="s">
        <v>88</v>
      </c>
    </row>
    <row r="14" spans="1:8">
      <c r="A14" s="64">
        <v>1123</v>
      </c>
      <c r="B14" s="65" t="s">
        <v>60</v>
      </c>
      <c r="C14" s="79">
        <v>215000</v>
      </c>
      <c r="D14" s="79">
        <v>10000</v>
      </c>
      <c r="E14" s="79"/>
      <c r="F14" s="79"/>
      <c r="G14" s="80">
        <v>4950</v>
      </c>
    </row>
    <row r="15" spans="1:8">
      <c r="A15" s="66"/>
      <c r="B15" s="67"/>
      <c r="C15" s="83"/>
      <c r="D15" s="83"/>
      <c r="E15" s="83">
        <v>8000</v>
      </c>
      <c r="F15" s="83"/>
      <c r="G15" s="84">
        <v>176</v>
      </c>
      <c r="H15" t="s">
        <v>88</v>
      </c>
    </row>
    <row r="16" spans="1:8">
      <c r="A16" s="64">
        <v>1408</v>
      </c>
      <c r="B16" t="s">
        <v>91</v>
      </c>
      <c r="C16" s="79">
        <v>225000</v>
      </c>
      <c r="D16" s="79">
        <v>10000</v>
      </c>
      <c r="E16" s="79"/>
      <c r="F16" s="79"/>
      <c r="G16" s="80">
        <v>5170</v>
      </c>
    </row>
    <row r="17" spans="1:8">
      <c r="A17" s="66"/>
      <c r="C17" s="83"/>
      <c r="D17" s="83"/>
      <c r="E17" s="83"/>
      <c r="F17" s="83">
        <v>91</v>
      </c>
      <c r="G17" s="84">
        <v>2</v>
      </c>
      <c r="H17" t="s">
        <v>88</v>
      </c>
    </row>
    <row r="18" spans="1:8">
      <c r="A18" s="75" t="s">
        <v>92</v>
      </c>
      <c r="B18" s="76"/>
      <c r="C18" s="91">
        <f>SUM(C5,D5,C7:D7,C9:D9,C11:D11,C14:D14,C2:D2,C16:D16)</f>
        <v>1504000</v>
      </c>
      <c r="D18" s="91"/>
      <c r="E18" s="77">
        <f>INT(SUM(E2:E17))</f>
        <v>40546</v>
      </c>
      <c r="F18" s="78">
        <f>SUM(F2:F17)</f>
        <v>546</v>
      </c>
      <c r="G18" s="85">
        <f>SUM(G2:G17)</f>
        <v>33990</v>
      </c>
    </row>
    <row r="19" spans="1:8">
      <c r="A19" s="75" t="s">
        <v>93</v>
      </c>
      <c r="B19" s="76"/>
      <c r="C19" s="91">
        <f>C18</f>
        <v>1504000</v>
      </c>
      <c r="D19" s="91"/>
      <c r="E19" s="77">
        <f>INT(E18*1.1)</f>
        <v>44600</v>
      </c>
      <c r="F19" s="78">
        <f>INT(F18*1.1)</f>
        <v>600</v>
      </c>
      <c r="G19" s="85"/>
    </row>
    <row r="20" spans="1:8">
      <c r="A20" s="75" t="s">
        <v>94</v>
      </c>
      <c r="B20" s="76"/>
      <c r="C20" s="91">
        <f>C19+E19+F19</f>
        <v>1549200</v>
      </c>
      <c r="D20" s="91"/>
      <c r="E20" s="91"/>
      <c r="F20" s="92"/>
      <c r="G20" s="85">
        <f>G18</f>
        <v>33990</v>
      </c>
    </row>
    <row r="22" spans="1:8">
      <c r="A22" t="s">
        <v>95</v>
      </c>
    </row>
    <row r="23" spans="1:8">
      <c r="A23" t="s">
        <v>96</v>
      </c>
    </row>
    <row r="24" spans="1:8">
      <c r="A24" t="s">
        <v>97</v>
      </c>
    </row>
  </sheetData>
  <mergeCells count="3">
    <mergeCell ref="C18:D18"/>
    <mergeCell ref="C19:D19"/>
    <mergeCell ref="C20:F20"/>
  </mergeCells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8EDF-F645-436E-A30E-3B32362A4306}">
  <dimension ref="A1:AJ15"/>
  <sheetViews>
    <sheetView zoomScale="85" zoomScaleNormal="85" workbookViewId="0">
      <pane xSplit="3" ySplit="2" topLeftCell="U3" activePane="bottomRight" state="frozen"/>
      <selection pane="topRight" activeCell="D1" sqref="D1"/>
      <selection pane="bottomLeft" activeCell="A3" sqref="A3"/>
      <selection pane="bottomRight" activeCell="AE19" sqref="AE19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0976562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5" t="s">
        <v>98</v>
      </c>
      <c r="B2" s="34"/>
      <c r="C2" s="31">
        <v>45639</v>
      </c>
      <c r="D2" s="13"/>
      <c r="E2" s="13"/>
      <c r="F2" s="13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>
      <c r="A3" s="26" t="s">
        <v>1</v>
      </c>
      <c r="B3" s="34" t="s">
        <v>2</v>
      </c>
      <c r="C3" s="12">
        <v>118000000</v>
      </c>
      <c r="D3" s="13"/>
      <c r="E3" s="13"/>
      <c r="F3" s="13"/>
      <c r="G3" s="12"/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>
      <c r="A4" s="26" t="s">
        <v>15</v>
      </c>
      <c r="B4" s="34" t="s">
        <v>2</v>
      </c>
      <c r="C4" s="12"/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/>
      <c r="J4" s="12"/>
      <c r="K4" s="12"/>
      <c r="L4" s="12"/>
      <c r="M4" s="12"/>
      <c r="N4" s="12"/>
      <c r="O4" s="12"/>
      <c r="P4" s="12"/>
      <c r="Q4" s="12">
        <v>197000</v>
      </c>
      <c r="R4" s="12">
        <v>197000</v>
      </c>
      <c r="S4" s="12">
        <v>197000</v>
      </c>
      <c r="T4" s="12">
        <v>197000</v>
      </c>
      <c r="U4" s="12">
        <v>197000</v>
      </c>
      <c r="V4" s="12">
        <v>197000</v>
      </c>
      <c r="W4" s="12">
        <v>197000</v>
      </c>
      <c r="X4" s="12"/>
      <c r="Y4" s="12">
        <v>227000</v>
      </c>
      <c r="Z4" s="12">
        <v>227000</v>
      </c>
      <c r="AA4" s="12">
        <v>227000</v>
      </c>
      <c r="AB4" s="12">
        <v>227000</v>
      </c>
      <c r="AC4" s="12">
        <v>227000</v>
      </c>
      <c r="AD4" s="12">
        <v>227000</v>
      </c>
      <c r="AE4" s="12">
        <v>227000</v>
      </c>
      <c r="AF4" s="12"/>
      <c r="AG4" s="12"/>
      <c r="AH4" s="12"/>
      <c r="AI4" s="12"/>
      <c r="AJ4" s="12"/>
    </row>
    <row r="5" spans="1:36">
      <c r="A5" s="26" t="s">
        <v>4</v>
      </c>
      <c r="B5" s="34" t="s">
        <v>2</v>
      </c>
      <c r="C5" s="12"/>
      <c r="D5" s="13"/>
      <c r="E5" s="13"/>
      <c r="F5" s="13"/>
      <c r="G5" s="13"/>
      <c r="H5" s="13"/>
      <c r="I5" s="13"/>
      <c r="J5" s="12"/>
      <c r="K5" s="13"/>
      <c r="L5" s="13"/>
      <c r="M5" s="13"/>
      <c r="N5" s="13"/>
      <c r="O5" s="13"/>
      <c r="P5" s="13">
        <v>137409</v>
      </c>
      <c r="Q5" s="13">
        <v>137410</v>
      </c>
      <c r="R5" s="13">
        <v>137409</v>
      </c>
      <c r="S5" s="13">
        <v>137409</v>
      </c>
      <c r="T5" s="13">
        <v>137409</v>
      </c>
      <c r="U5" s="13">
        <v>137409</v>
      </c>
      <c r="V5" s="13">
        <v>137409</v>
      </c>
      <c r="W5" s="13">
        <v>137410</v>
      </c>
      <c r="X5" s="13"/>
      <c r="Y5" s="13">
        <v>137409</v>
      </c>
      <c r="Z5" s="13">
        <v>137409</v>
      </c>
      <c r="AA5" s="13">
        <v>137409</v>
      </c>
      <c r="AB5" s="13">
        <v>137409</v>
      </c>
      <c r="AC5" s="13">
        <v>137409</v>
      </c>
      <c r="AD5" s="13">
        <v>137410</v>
      </c>
      <c r="AE5" s="13">
        <v>137409</v>
      </c>
      <c r="AF5" s="13">
        <v>137409</v>
      </c>
      <c r="AG5" s="13">
        <v>137409</v>
      </c>
      <c r="AH5" s="13">
        <v>137409</v>
      </c>
      <c r="AI5" s="13">
        <v>137409</v>
      </c>
      <c r="AJ5" s="13">
        <v>137411</v>
      </c>
    </row>
    <row r="6" spans="1:36">
      <c r="A6" s="26" t="s">
        <v>5</v>
      </c>
      <c r="B6" s="34" t="s">
        <v>2</v>
      </c>
      <c r="C6" s="12">
        <v>74950527</v>
      </c>
      <c r="D6" s="12"/>
      <c r="E6" s="12"/>
      <c r="F6" s="12"/>
      <c r="G6" s="12"/>
      <c r="H6" s="12"/>
      <c r="I6" s="12"/>
      <c r="J6" s="12"/>
      <c r="K6" s="13"/>
      <c r="L6" s="12"/>
      <c r="M6" s="12"/>
      <c r="N6" s="12"/>
      <c r="O6" s="12"/>
      <c r="P6" s="12">
        <f>C6-P5</f>
        <v>74813118</v>
      </c>
      <c r="Q6" s="12">
        <f t="shared" ref="Q6:W6" si="0">SUM(P6-Q5)</f>
        <v>74675708</v>
      </c>
      <c r="R6" s="12">
        <f t="shared" si="0"/>
        <v>74538299</v>
      </c>
      <c r="S6" s="12">
        <f t="shared" si="0"/>
        <v>74400890</v>
      </c>
      <c r="T6" s="12">
        <f t="shared" si="0"/>
        <v>74263481</v>
      </c>
      <c r="U6" s="12">
        <f t="shared" si="0"/>
        <v>74126072</v>
      </c>
      <c r="V6" s="12">
        <f t="shared" si="0"/>
        <v>73988663</v>
      </c>
      <c r="W6" s="12">
        <f t="shared" si="0"/>
        <v>73851253</v>
      </c>
      <c r="X6" s="13"/>
      <c r="Y6" s="12">
        <f>W6-Y5</f>
        <v>73713844</v>
      </c>
      <c r="Z6" s="12">
        <f>Y6-Z5</f>
        <v>73576435</v>
      </c>
      <c r="AA6" s="12">
        <f t="shared" ref="AA6:AJ6" si="1">Z6-AA5</f>
        <v>73439026</v>
      </c>
      <c r="AB6" s="12">
        <f t="shared" si="1"/>
        <v>73301617</v>
      </c>
      <c r="AC6" s="12">
        <f t="shared" si="1"/>
        <v>73164208</v>
      </c>
      <c r="AD6" s="12">
        <f t="shared" si="1"/>
        <v>73026798</v>
      </c>
      <c r="AE6" s="12">
        <f t="shared" si="1"/>
        <v>72889389</v>
      </c>
      <c r="AF6" s="12">
        <f t="shared" si="1"/>
        <v>72751980</v>
      </c>
      <c r="AG6" s="12">
        <f t="shared" si="1"/>
        <v>72614571</v>
      </c>
      <c r="AH6" s="12">
        <f t="shared" si="1"/>
        <v>72477162</v>
      </c>
      <c r="AI6" s="12">
        <f t="shared" si="1"/>
        <v>72339753</v>
      </c>
      <c r="AJ6" s="12">
        <f t="shared" si="1"/>
        <v>72202342</v>
      </c>
    </row>
    <row r="7" spans="1:36">
      <c r="A7" s="26" t="s">
        <v>33</v>
      </c>
      <c r="B7" s="34" t="s">
        <v>2</v>
      </c>
      <c r="C7" s="12"/>
      <c r="D7" s="13"/>
      <c r="E7" s="13"/>
      <c r="F7" s="13"/>
      <c r="G7" s="12"/>
      <c r="H7" s="12"/>
      <c r="I7" s="12"/>
      <c r="J7" s="12"/>
      <c r="K7" s="13"/>
      <c r="L7" s="12"/>
      <c r="M7" s="12"/>
      <c r="N7" s="12"/>
      <c r="O7" s="12"/>
      <c r="P7" s="12">
        <v>24597</v>
      </c>
      <c r="Q7" s="12">
        <v>40132</v>
      </c>
      <c r="R7" s="12">
        <v>40132</v>
      </c>
      <c r="S7" s="12">
        <v>40132</v>
      </c>
      <c r="T7" s="12">
        <v>40132</v>
      </c>
      <c r="U7" s="12">
        <v>40132</v>
      </c>
      <c r="V7" s="12">
        <v>40132</v>
      </c>
      <c r="W7" s="12">
        <v>40132</v>
      </c>
      <c r="X7" s="13"/>
      <c r="Y7" s="12">
        <v>40132</v>
      </c>
      <c r="Z7" s="12">
        <v>40132</v>
      </c>
      <c r="AA7" s="12">
        <v>40132</v>
      </c>
      <c r="AB7" s="12">
        <v>40132</v>
      </c>
      <c r="AC7" s="12">
        <v>40132</v>
      </c>
      <c r="AD7" s="12">
        <v>40132</v>
      </c>
      <c r="AE7" s="12">
        <v>40132</v>
      </c>
      <c r="AF7" s="12">
        <v>40132</v>
      </c>
      <c r="AG7" s="12">
        <v>40132</v>
      </c>
      <c r="AH7" s="12">
        <v>40132</v>
      </c>
      <c r="AI7" s="12">
        <v>40132</v>
      </c>
      <c r="AJ7" s="12">
        <v>40132</v>
      </c>
    </row>
    <row r="8" spans="1:36">
      <c r="A8" s="26" t="s">
        <v>7</v>
      </c>
      <c r="B8" s="34" t="s">
        <v>2</v>
      </c>
      <c r="C8" s="12"/>
      <c r="D8" s="13"/>
      <c r="E8" s="13"/>
      <c r="F8" s="13"/>
      <c r="G8" s="12"/>
      <c r="H8" s="12"/>
      <c r="I8" s="12">
        <v>0</v>
      </c>
      <c r="J8" s="12">
        <v>0</v>
      </c>
      <c r="K8" s="13"/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/>
      <c r="V8" s="12">
        <v>0</v>
      </c>
      <c r="W8" s="12">
        <v>0</v>
      </c>
      <c r="X8" s="13"/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</row>
    <row r="9" spans="1:36">
      <c r="A9" s="26" t="s">
        <v>8</v>
      </c>
      <c r="B9" s="34" t="s">
        <v>2</v>
      </c>
      <c r="C9" s="12">
        <v>4444012</v>
      </c>
      <c r="D9" s="13">
        <v>0</v>
      </c>
      <c r="E9" s="13">
        <v>0</v>
      </c>
      <c r="F9" s="13">
        <v>0</v>
      </c>
      <c r="G9" s="12">
        <v>0</v>
      </c>
      <c r="H9" s="12">
        <v>0</v>
      </c>
      <c r="I9" s="12">
        <v>0</v>
      </c>
      <c r="J9" s="12">
        <v>0</v>
      </c>
      <c r="K9" s="13"/>
      <c r="L9" s="13">
        <v>0</v>
      </c>
      <c r="M9" s="13">
        <v>0</v>
      </c>
      <c r="N9" s="13">
        <v>0</v>
      </c>
      <c r="O9" s="13">
        <v>0</v>
      </c>
      <c r="P9" s="13">
        <v>8879</v>
      </c>
      <c r="Q9" s="13">
        <v>0</v>
      </c>
      <c r="R9" s="13">
        <v>0</v>
      </c>
      <c r="S9" s="13">
        <v>0</v>
      </c>
      <c r="T9" s="13">
        <v>0</v>
      </c>
      <c r="U9" s="12">
        <v>164723</v>
      </c>
      <c r="V9" s="13">
        <v>0</v>
      </c>
      <c r="W9" s="13">
        <v>0</v>
      </c>
      <c r="X9" s="13"/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</row>
    <row r="10" spans="1:36">
      <c r="A10" s="26" t="s">
        <v>9</v>
      </c>
      <c r="B10" s="34" t="s">
        <v>2</v>
      </c>
      <c r="C10" s="14"/>
      <c r="D10" s="15"/>
      <c r="E10" s="15"/>
      <c r="F10" s="15"/>
      <c r="G10" s="14"/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>
      <c r="A11" s="26" t="s">
        <v>10</v>
      </c>
      <c r="B11" s="34" t="s">
        <v>2</v>
      </c>
      <c r="C11" s="16"/>
      <c r="D11" s="17"/>
      <c r="E11" s="17"/>
      <c r="F11" s="17"/>
      <c r="G11" s="16"/>
      <c r="H11" s="16"/>
      <c r="I11" s="16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spans="1:36">
      <c r="A12" s="26" t="s">
        <v>11</v>
      </c>
      <c r="B12" s="34" t="s">
        <v>2</v>
      </c>
      <c r="C12" s="16"/>
      <c r="D12" s="17"/>
      <c r="E12" s="17"/>
      <c r="F12" s="17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 spans="1:36">
      <c r="A13" s="26" t="s">
        <v>12</v>
      </c>
      <c r="B13" s="34" t="s">
        <v>2</v>
      </c>
      <c r="C13" s="16"/>
      <c r="D13" s="30">
        <f>SUM(D4-D7-D8-D9)</f>
        <v>0</v>
      </c>
      <c r="E13" s="30">
        <f t="shared" ref="E13:J13" si="2">SUM(E4-E7-E8-E9)</f>
        <v>0</v>
      </c>
      <c r="F13" s="30">
        <f t="shared" si="2"/>
        <v>0</v>
      </c>
      <c r="G13" s="30">
        <f t="shared" si="2"/>
        <v>0</v>
      </c>
      <c r="H13" s="30">
        <f t="shared" si="2"/>
        <v>0</v>
      </c>
      <c r="I13" s="30">
        <f t="shared" si="2"/>
        <v>0</v>
      </c>
      <c r="J13" s="30">
        <f t="shared" si="2"/>
        <v>0</v>
      </c>
      <c r="K13" s="30"/>
      <c r="L13" s="30">
        <f>SUM(L4-L7-L8-L9)</f>
        <v>0</v>
      </c>
      <c r="M13" s="30">
        <f t="shared" ref="M13:W13" si="3">SUM(M4-M7-M8-M9)</f>
        <v>0</v>
      </c>
      <c r="N13" s="30">
        <f t="shared" si="3"/>
        <v>0</v>
      </c>
      <c r="O13" s="30">
        <f t="shared" si="3"/>
        <v>0</v>
      </c>
      <c r="P13" s="30">
        <f t="shared" si="3"/>
        <v>-33476</v>
      </c>
      <c r="Q13" s="30">
        <f t="shared" si="3"/>
        <v>156868</v>
      </c>
      <c r="R13" s="30">
        <f t="shared" si="3"/>
        <v>156868</v>
      </c>
      <c r="S13" s="30">
        <f t="shared" si="3"/>
        <v>156868</v>
      </c>
      <c r="T13" s="30">
        <f t="shared" si="3"/>
        <v>156868</v>
      </c>
      <c r="U13" s="30">
        <f t="shared" si="3"/>
        <v>-7855</v>
      </c>
      <c r="V13" s="30">
        <f t="shared" si="3"/>
        <v>156868</v>
      </c>
      <c r="W13" s="30">
        <f t="shared" si="3"/>
        <v>156868</v>
      </c>
      <c r="X13" s="30"/>
      <c r="Y13" s="30">
        <f>SUM(Y4-Y7-Y8-Y9)</f>
        <v>186868</v>
      </c>
      <c r="Z13" s="30">
        <f t="shared" ref="Z13:AJ13" si="4">SUM(Z4-Z7-Z8-Z9)</f>
        <v>186868</v>
      </c>
      <c r="AA13" s="30">
        <f t="shared" si="4"/>
        <v>186868</v>
      </c>
      <c r="AB13" s="30">
        <f t="shared" si="4"/>
        <v>186868</v>
      </c>
      <c r="AC13" s="30">
        <f t="shared" si="4"/>
        <v>186868</v>
      </c>
      <c r="AD13" s="30">
        <f t="shared" si="4"/>
        <v>186868</v>
      </c>
      <c r="AE13" s="30">
        <f t="shared" si="4"/>
        <v>186868</v>
      </c>
      <c r="AF13" s="30">
        <f t="shared" si="4"/>
        <v>-40132</v>
      </c>
      <c r="AG13" s="30">
        <f t="shared" si="4"/>
        <v>-40132</v>
      </c>
      <c r="AH13" s="30">
        <f t="shared" si="4"/>
        <v>-40132</v>
      </c>
      <c r="AI13" s="30">
        <f t="shared" si="4"/>
        <v>-40132</v>
      </c>
      <c r="AJ13" s="30">
        <f t="shared" si="4"/>
        <v>-40132</v>
      </c>
    </row>
    <row r="14" spans="1:36">
      <c r="A14" s="26" t="s">
        <v>13</v>
      </c>
      <c r="B14" s="34" t="s">
        <v>2</v>
      </c>
      <c r="C14" s="16"/>
      <c r="D14" s="17"/>
      <c r="E14" s="17"/>
      <c r="F14" s="17"/>
      <c r="G14" s="16"/>
      <c r="H14" s="16"/>
      <c r="I14" s="16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  <row r="15" spans="1:36">
      <c r="A15" s="24" t="s">
        <v>99</v>
      </c>
    </row>
  </sheetData>
  <phoneticPr fontId="2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4AB0-A290-4F9E-B06F-157A3B8E65FD}">
  <dimension ref="A1:AJ15"/>
  <sheetViews>
    <sheetView zoomScale="85" zoomScaleNormal="85" workbookViewId="0">
      <pane xSplit="3" ySplit="2" topLeftCell="O3" activePane="bottomRight" state="frozen"/>
      <selection pane="topRight" activeCell="D1" sqref="D1"/>
      <selection pane="bottomLeft" activeCell="A3" sqref="A3"/>
      <selection pane="bottomRight" activeCell="AA30" sqref="AA30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09765625" bestFit="1" customWidth="1"/>
    <col min="27" max="29" width="11.19921875" bestFit="1" customWidth="1"/>
    <col min="30" max="36" width="10.0976562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25" t="s">
        <v>100</v>
      </c>
      <c r="B2" s="34"/>
      <c r="C2" s="31">
        <v>45869</v>
      </c>
      <c r="D2" s="13"/>
      <c r="E2" s="13"/>
      <c r="F2" s="13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>
      <c r="A3" s="26" t="s">
        <v>1</v>
      </c>
      <c r="B3" s="34" t="s">
        <v>2</v>
      </c>
      <c r="C3" s="12">
        <v>110000000</v>
      </c>
      <c r="D3" s="13"/>
      <c r="E3" s="13"/>
      <c r="F3" s="13"/>
      <c r="G3" s="12"/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>
      <c r="A4" s="26" t="s">
        <v>15</v>
      </c>
      <c r="B4" s="34" t="s">
        <v>2</v>
      </c>
      <c r="C4" s="12">
        <v>275000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>
        <v>57442</v>
      </c>
      <c r="Z4" s="12">
        <v>57442</v>
      </c>
      <c r="AA4" s="12">
        <v>57442</v>
      </c>
      <c r="AB4" s="12">
        <v>57442</v>
      </c>
      <c r="AC4" s="12">
        <v>57442</v>
      </c>
      <c r="AD4" s="12">
        <v>57442</v>
      </c>
      <c r="AE4" s="12">
        <v>57442</v>
      </c>
      <c r="AF4" s="12"/>
      <c r="AG4" s="12"/>
      <c r="AH4" s="12"/>
      <c r="AI4" s="12"/>
      <c r="AJ4" s="12"/>
    </row>
    <row r="5" spans="1:36">
      <c r="A5" s="26" t="s">
        <v>4</v>
      </c>
      <c r="B5" s="34" t="s">
        <v>2</v>
      </c>
      <c r="C5" s="12"/>
      <c r="D5" s="13"/>
      <c r="E5" s="13"/>
      <c r="F5" s="13"/>
      <c r="G5" s="13"/>
      <c r="H5" s="13"/>
      <c r="I5" s="13"/>
      <c r="J5" s="1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>
        <v>134576</v>
      </c>
      <c r="Z5" s="13">
        <v>134576</v>
      </c>
      <c r="AA5" s="13">
        <v>134576</v>
      </c>
      <c r="AB5" s="13">
        <v>134576</v>
      </c>
      <c r="AC5" s="13">
        <v>134576</v>
      </c>
      <c r="AD5" s="13">
        <v>134580</v>
      </c>
      <c r="AE5" s="13">
        <v>134576</v>
      </c>
      <c r="AF5" s="13">
        <v>134576</v>
      </c>
      <c r="AG5" s="13">
        <v>134576</v>
      </c>
      <c r="AH5" s="13">
        <v>134576</v>
      </c>
      <c r="AI5" s="13">
        <v>134576</v>
      </c>
      <c r="AJ5" s="13">
        <v>134581</v>
      </c>
    </row>
    <row r="6" spans="1:36">
      <c r="A6" s="26" t="s">
        <v>5</v>
      </c>
      <c r="B6" s="34" t="s">
        <v>2</v>
      </c>
      <c r="C6" s="12"/>
      <c r="D6" s="12"/>
      <c r="E6" s="12"/>
      <c r="F6" s="12"/>
      <c r="G6" s="12"/>
      <c r="H6" s="12"/>
      <c r="I6" s="12"/>
      <c r="J6" s="12"/>
      <c r="K6" s="13"/>
      <c r="L6" s="12"/>
      <c r="M6" s="12"/>
      <c r="N6" s="12"/>
      <c r="O6" s="12"/>
      <c r="P6" s="12">
        <f>C6-P5</f>
        <v>0</v>
      </c>
      <c r="Q6" s="12">
        <f t="shared" ref="Q6:W6" si="0">SUM(P6-Q5)</f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3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>
      <c r="A7" s="26" t="s">
        <v>33</v>
      </c>
      <c r="B7" s="34" t="s">
        <v>2</v>
      </c>
      <c r="C7" s="12">
        <v>31972</v>
      </c>
      <c r="D7" s="13"/>
      <c r="E7" s="13"/>
      <c r="F7" s="13"/>
      <c r="G7" s="12"/>
      <c r="H7" s="12"/>
      <c r="I7" s="12"/>
      <c r="J7" s="12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>
        <v>33003</v>
      </c>
      <c r="X7" s="13"/>
      <c r="Y7" s="12">
        <v>31972</v>
      </c>
      <c r="Z7" s="12">
        <v>31972</v>
      </c>
      <c r="AA7" s="12">
        <v>31972</v>
      </c>
      <c r="AB7" s="12">
        <v>31972</v>
      </c>
      <c r="AC7" s="12">
        <v>31972</v>
      </c>
      <c r="AD7" s="12">
        <v>31972</v>
      </c>
      <c r="AE7" s="12">
        <v>31972</v>
      </c>
      <c r="AF7" s="12">
        <v>31972</v>
      </c>
      <c r="AG7" s="12">
        <v>31972</v>
      </c>
      <c r="AH7" s="12">
        <v>31972</v>
      </c>
      <c r="AI7" s="12">
        <v>31972</v>
      </c>
      <c r="AJ7" s="12">
        <v>31972</v>
      </c>
    </row>
    <row r="8" spans="1:36">
      <c r="A8" s="26" t="s">
        <v>7</v>
      </c>
      <c r="B8" s="34" t="s">
        <v>2</v>
      </c>
      <c r="C8" s="12"/>
      <c r="D8" s="13"/>
      <c r="E8" s="13"/>
      <c r="F8" s="13"/>
      <c r="G8" s="12"/>
      <c r="H8" s="12"/>
      <c r="I8" s="12">
        <v>0</v>
      </c>
      <c r="J8" s="12">
        <v>0</v>
      </c>
      <c r="K8" s="13"/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/>
      <c r="V8" s="12">
        <v>0</v>
      </c>
      <c r="W8" s="12">
        <v>0</v>
      </c>
      <c r="X8" s="13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>
      <c r="A9" s="26" t="s">
        <v>8</v>
      </c>
      <c r="B9" s="34" t="s">
        <v>2</v>
      </c>
      <c r="C9" s="12">
        <v>4093532</v>
      </c>
      <c r="D9" s="13">
        <v>0</v>
      </c>
      <c r="E9" s="13">
        <v>0</v>
      </c>
      <c r="F9" s="13">
        <v>0</v>
      </c>
      <c r="G9" s="12">
        <v>0</v>
      </c>
      <c r="H9" s="12">
        <v>0</v>
      </c>
      <c r="I9" s="12">
        <v>0</v>
      </c>
      <c r="J9" s="12">
        <v>0</v>
      </c>
      <c r="K9" s="13"/>
      <c r="L9" s="13">
        <v>0</v>
      </c>
      <c r="M9" s="13">
        <v>0</v>
      </c>
      <c r="N9" s="13">
        <v>0</v>
      </c>
      <c r="O9" s="13">
        <v>0</v>
      </c>
      <c r="P9" s="13"/>
      <c r="Q9" s="13">
        <v>0</v>
      </c>
      <c r="R9" s="13">
        <v>0</v>
      </c>
      <c r="S9" s="13">
        <v>0</v>
      </c>
      <c r="T9" s="13">
        <v>0</v>
      </c>
      <c r="U9" s="12"/>
      <c r="V9" s="13">
        <v>0</v>
      </c>
      <c r="W9" s="13">
        <v>54907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2"/>
      <c r="AI9" s="13"/>
      <c r="AJ9" s="13"/>
    </row>
    <row r="10" spans="1:36">
      <c r="A10" s="26" t="s">
        <v>9</v>
      </c>
      <c r="B10" s="34" t="s">
        <v>2</v>
      </c>
      <c r="C10" s="14"/>
      <c r="D10" s="15"/>
      <c r="E10" s="15"/>
      <c r="F10" s="15"/>
      <c r="G10" s="14"/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>
      <c r="A11" s="26" t="s">
        <v>10</v>
      </c>
      <c r="B11" s="34" t="s">
        <v>2</v>
      </c>
      <c r="C11" s="16"/>
      <c r="D11" s="17"/>
      <c r="E11" s="17"/>
      <c r="F11" s="17"/>
      <c r="G11" s="16"/>
      <c r="H11" s="16"/>
      <c r="I11" s="16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spans="1:36">
      <c r="A12" s="26" t="s">
        <v>11</v>
      </c>
      <c r="B12" s="34" t="s">
        <v>2</v>
      </c>
      <c r="C12" s="16"/>
      <c r="D12" s="17"/>
      <c r="E12" s="17"/>
      <c r="F12" s="17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 spans="1:36">
      <c r="A13" s="26" t="s">
        <v>12</v>
      </c>
      <c r="B13" s="34" t="s">
        <v>2</v>
      </c>
      <c r="C13" s="16"/>
      <c r="D13" s="30">
        <f>SUM(D4-D7-D8-D9)</f>
        <v>0</v>
      </c>
      <c r="E13" s="30">
        <f t="shared" ref="E13:J13" si="1">SUM(E4-E7-E8-E9)</f>
        <v>0</v>
      </c>
      <c r="F13" s="30">
        <f t="shared" si="1"/>
        <v>0</v>
      </c>
      <c r="G13" s="30">
        <f t="shared" si="1"/>
        <v>0</v>
      </c>
      <c r="H13" s="30">
        <f t="shared" si="1"/>
        <v>0</v>
      </c>
      <c r="I13" s="30">
        <f t="shared" si="1"/>
        <v>0</v>
      </c>
      <c r="J13" s="30">
        <f t="shared" si="1"/>
        <v>0</v>
      </c>
      <c r="K13" s="30"/>
      <c r="L13" s="30">
        <f>SUM(L4-L7-L8-L9)</f>
        <v>0</v>
      </c>
      <c r="M13" s="30">
        <f t="shared" ref="M13:W13" si="2">SUM(M4-M7-M8-M9)</f>
        <v>0</v>
      </c>
      <c r="N13" s="30">
        <f t="shared" si="2"/>
        <v>0</v>
      </c>
      <c r="O13" s="30">
        <f t="shared" si="2"/>
        <v>0</v>
      </c>
      <c r="P13" s="30">
        <f t="shared" si="2"/>
        <v>0</v>
      </c>
      <c r="Q13" s="30">
        <f t="shared" si="2"/>
        <v>0</v>
      </c>
      <c r="R13" s="30">
        <f t="shared" si="2"/>
        <v>0</v>
      </c>
      <c r="S13" s="30">
        <f t="shared" si="2"/>
        <v>0</v>
      </c>
      <c r="T13" s="30">
        <f t="shared" si="2"/>
        <v>0</v>
      </c>
      <c r="U13" s="30">
        <f t="shared" si="2"/>
        <v>0</v>
      </c>
      <c r="V13" s="30">
        <f t="shared" si="2"/>
        <v>0</v>
      </c>
      <c r="W13" s="30">
        <f t="shared" si="2"/>
        <v>-87910</v>
      </c>
      <c r="X13" s="30"/>
      <c r="Y13" s="30">
        <f>SUM(Y4-Y7-Y8-Y9)</f>
        <v>25470</v>
      </c>
      <c r="Z13" s="30">
        <f t="shared" ref="Z13:AJ13" si="3">SUM(Z4-Z7-Z8-Z9)</f>
        <v>25470</v>
      </c>
      <c r="AA13" s="30">
        <f t="shared" si="3"/>
        <v>25470</v>
      </c>
      <c r="AB13" s="30">
        <f t="shared" si="3"/>
        <v>25470</v>
      </c>
      <c r="AC13" s="30">
        <f t="shared" si="3"/>
        <v>25470</v>
      </c>
      <c r="AD13" s="30">
        <f t="shared" si="3"/>
        <v>25470</v>
      </c>
      <c r="AE13" s="30">
        <f t="shared" si="3"/>
        <v>25470</v>
      </c>
      <c r="AF13" s="30">
        <f t="shared" si="3"/>
        <v>-31972</v>
      </c>
      <c r="AG13" s="30">
        <f t="shared" si="3"/>
        <v>-31972</v>
      </c>
      <c r="AH13" s="30">
        <f t="shared" si="3"/>
        <v>-31972</v>
      </c>
      <c r="AI13" s="30">
        <f t="shared" si="3"/>
        <v>-31972</v>
      </c>
      <c r="AJ13" s="30">
        <f t="shared" si="3"/>
        <v>-31972</v>
      </c>
    </row>
    <row r="14" spans="1:36">
      <c r="A14" s="26" t="s">
        <v>13</v>
      </c>
      <c r="B14" s="34" t="s">
        <v>2</v>
      </c>
      <c r="C14" s="16"/>
      <c r="D14" s="17"/>
      <c r="E14" s="17"/>
      <c r="F14" s="17"/>
      <c r="G14" s="16"/>
      <c r="H14" s="16"/>
      <c r="I14" s="16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  <row r="15" spans="1:36">
      <c r="A15" s="24" t="s">
        <v>101</v>
      </c>
    </row>
  </sheetData>
  <phoneticPr fontId="2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1E75-0604-458E-A8E4-AE04BF962901}">
  <dimension ref="A1:AJ15"/>
  <sheetViews>
    <sheetView zoomScale="85" zoomScaleNormal="85" workbookViewId="0">
      <pane xSplit="3" ySplit="2" topLeftCell="T3" activePane="bottomRight" state="frozen"/>
      <selection pane="topRight" activeCell="D1" sqref="D1"/>
      <selection pane="bottomLeft" activeCell="A3" sqref="A3"/>
      <selection pane="bottomRight" activeCell="AE21" sqref="AE21"/>
    </sheetView>
  </sheetViews>
  <sheetFormatPr defaultRowHeight="18"/>
  <cols>
    <col min="1" max="1" width="19.69921875" style="24" customWidth="1"/>
    <col min="2" max="2" width="4.3984375" style="33" customWidth="1"/>
    <col min="3" max="3" width="10.59765625" customWidth="1"/>
    <col min="4" max="6" width="10.8984375" customWidth="1"/>
    <col min="7" max="10" width="10.59765625" customWidth="1"/>
    <col min="11" max="11" width="10.3984375" customWidth="1"/>
    <col min="12" max="12" width="10.69921875" customWidth="1"/>
    <col min="13" max="23" width="10.8984375" customWidth="1"/>
    <col min="24" max="24" width="10.69921875" customWidth="1"/>
    <col min="25" max="26" width="10.3984375" bestFit="1" customWidth="1"/>
    <col min="27" max="29" width="11.19921875" bestFit="1" customWidth="1"/>
    <col min="30" max="36" width="10.3984375" bestFit="1" customWidth="1"/>
  </cols>
  <sheetData>
    <row r="1" spans="1:36">
      <c r="C1" s="37">
        <v>2024</v>
      </c>
      <c r="D1" s="6">
        <v>45322</v>
      </c>
      <c r="E1" s="6">
        <v>45350</v>
      </c>
      <c r="F1" s="6">
        <v>45382</v>
      </c>
      <c r="G1" s="6">
        <v>45412</v>
      </c>
      <c r="H1" s="6">
        <v>45443</v>
      </c>
      <c r="I1" s="6">
        <v>45473</v>
      </c>
      <c r="J1" s="6">
        <v>45504</v>
      </c>
      <c r="K1" s="37">
        <v>2025</v>
      </c>
      <c r="L1" s="6">
        <v>45535</v>
      </c>
      <c r="M1" s="6">
        <v>45565</v>
      </c>
      <c r="N1" s="11">
        <v>45596</v>
      </c>
      <c r="O1" s="11">
        <v>45626</v>
      </c>
      <c r="P1" s="11">
        <v>45657</v>
      </c>
      <c r="Q1" s="6">
        <v>45688</v>
      </c>
      <c r="R1" s="6">
        <v>45716</v>
      </c>
      <c r="S1" s="6">
        <v>45747</v>
      </c>
      <c r="T1" s="6">
        <v>45777</v>
      </c>
      <c r="U1" s="6">
        <v>45808</v>
      </c>
      <c r="V1" s="6">
        <v>45838</v>
      </c>
      <c r="W1" s="6">
        <v>45869</v>
      </c>
      <c r="X1" s="37">
        <v>2026</v>
      </c>
      <c r="Y1" s="6">
        <v>45900</v>
      </c>
      <c r="Z1" s="6">
        <v>45930</v>
      </c>
      <c r="AA1" s="11">
        <v>45961</v>
      </c>
      <c r="AB1" s="6">
        <v>45991</v>
      </c>
      <c r="AC1" s="6">
        <v>46022</v>
      </c>
      <c r="AD1" s="11">
        <v>46053</v>
      </c>
      <c r="AE1" s="6">
        <v>46081</v>
      </c>
      <c r="AF1" s="6">
        <v>46112</v>
      </c>
      <c r="AG1" s="11">
        <v>46142</v>
      </c>
      <c r="AH1" s="6">
        <v>46173</v>
      </c>
      <c r="AI1" s="6">
        <v>46203</v>
      </c>
      <c r="AJ1" s="11">
        <v>46234</v>
      </c>
    </row>
    <row r="2" spans="1:36">
      <c r="A2" s="39" t="s">
        <v>102</v>
      </c>
      <c r="B2" s="40"/>
      <c r="C2" s="41">
        <v>45387</v>
      </c>
      <c r="D2" s="42"/>
      <c r="E2" s="42"/>
      <c r="F2" s="42"/>
      <c r="G2" s="43"/>
      <c r="H2" s="43"/>
      <c r="I2" s="43"/>
      <c r="J2" s="43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spans="1:36">
      <c r="A3" s="44" t="s">
        <v>1</v>
      </c>
      <c r="B3" s="40" t="s">
        <v>2</v>
      </c>
      <c r="C3" s="43">
        <v>55080000</v>
      </c>
      <c r="D3" s="42"/>
      <c r="E3" s="42"/>
      <c r="F3" s="42"/>
      <c r="G3" s="43"/>
      <c r="H3" s="43"/>
      <c r="I3" s="43"/>
      <c r="J3" s="43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</row>
    <row r="4" spans="1:36">
      <c r="A4" s="44" t="s">
        <v>15</v>
      </c>
      <c r="B4" s="40" t="s">
        <v>2</v>
      </c>
      <c r="C4" s="43"/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/>
      <c r="L4" s="43">
        <v>0</v>
      </c>
      <c r="M4" s="43">
        <v>0</v>
      </c>
      <c r="N4" s="43">
        <v>159000</v>
      </c>
      <c r="O4" s="43">
        <v>159000</v>
      </c>
      <c r="P4" s="43">
        <v>159000</v>
      </c>
      <c r="Q4" s="43">
        <v>159000</v>
      </c>
      <c r="R4" s="43">
        <v>159000</v>
      </c>
      <c r="S4" s="43">
        <v>159000</v>
      </c>
      <c r="T4" s="43">
        <v>159000</v>
      </c>
      <c r="U4" s="43">
        <v>159000</v>
      </c>
      <c r="V4" s="43">
        <v>159000</v>
      </c>
      <c r="W4" s="43">
        <v>159000</v>
      </c>
      <c r="X4" s="43"/>
      <c r="Y4" s="43">
        <v>159500</v>
      </c>
      <c r="Z4" s="43">
        <v>159500</v>
      </c>
      <c r="AA4" s="43">
        <v>159500</v>
      </c>
      <c r="AB4" s="43">
        <v>159500</v>
      </c>
      <c r="AC4" s="43">
        <v>159500</v>
      </c>
      <c r="AD4" s="43">
        <v>159500</v>
      </c>
      <c r="AE4" s="43">
        <v>159500</v>
      </c>
      <c r="AF4" s="43"/>
      <c r="AG4" s="43"/>
      <c r="AH4" s="43"/>
      <c r="AI4" s="43"/>
      <c r="AJ4" s="43"/>
    </row>
    <row r="5" spans="1:36">
      <c r="A5" s="44" t="s">
        <v>4</v>
      </c>
      <c r="B5" s="40" t="s">
        <v>2</v>
      </c>
      <c r="C5" s="43"/>
      <c r="D5" s="43"/>
      <c r="E5" s="43"/>
      <c r="F5" s="43"/>
      <c r="G5" s="43">
        <v>39731</v>
      </c>
      <c r="H5" s="43">
        <v>39731</v>
      </c>
      <c r="I5" s="43">
        <v>39731</v>
      </c>
      <c r="J5" s="43">
        <v>39732</v>
      </c>
      <c r="K5" s="42"/>
      <c r="L5" s="43">
        <v>39731</v>
      </c>
      <c r="M5" s="43">
        <v>39731</v>
      </c>
      <c r="N5" s="43">
        <v>39731</v>
      </c>
      <c r="O5" s="43">
        <v>39731</v>
      </c>
      <c r="P5" s="43">
        <v>39731</v>
      </c>
      <c r="Q5" s="43">
        <v>39732</v>
      </c>
      <c r="R5" s="43">
        <v>39731</v>
      </c>
      <c r="S5" s="43">
        <v>39731</v>
      </c>
      <c r="T5" s="43">
        <v>39731</v>
      </c>
      <c r="U5" s="43">
        <v>39731</v>
      </c>
      <c r="V5" s="43">
        <v>39731</v>
      </c>
      <c r="W5" s="43">
        <v>39733</v>
      </c>
      <c r="X5" s="42"/>
      <c r="Y5" s="43">
        <v>39731</v>
      </c>
      <c r="Z5" s="43">
        <v>39731</v>
      </c>
      <c r="AA5" s="43">
        <v>39731</v>
      </c>
      <c r="AB5" s="43">
        <v>39731</v>
      </c>
      <c r="AC5" s="43">
        <v>39731</v>
      </c>
      <c r="AD5" s="43">
        <v>39732</v>
      </c>
      <c r="AE5" s="43">
        <v>39731</v>
      </c>
      <c r="AF5" s="43">
        <v>39731</v>
      </c>
      <c r="AG5" s="43">
        <v>39731</v>
      </c>
      <c r="AH5" s="43">
        <v>39731</v>
      </c>
      <c r="AI5" s="43">
        <v>39731</v>
      </c>
      <c r="AJ5" s="43">
        <v>39733</v>
      </c>
    </row>
    <row r="6" spans="1:36">
      <c r="A6" s="44" t="s">
        <v>5</v>
      </c>
      <c r="B6" s="40" t="s">
        <v>2</v>
      </c>
      <c r="C6" s="43">
        <v>21671597</v>
      </c>
      <c r="D6" s="43"/>
      <c r="E6" s="43"/>
      <c r="F6" s="43"/>
      <c r="G6" s="43">
        <f>SUM(C6-G5)</f>
        <v>21631866</v>
      </c>
      <c r="H6" s="43">
        <f t="shared" ref="H6:J6" si="0">SUM(G6-H5)</f>
        <v>21592135</v>
      </c>
      <c r="I6" s="43">
        <f t="shared" si="0"/>
        <v>21552404</v>
      </c>
      <c r="J6" s="43">
        <f t="shared" si="0"/>
        <v>21512672</v>
      </c>
      <c r="K6" s="42"/>
      <c r="L6" s="43">
        <f>SUM(J6-L5)</f>
        <v>21472941</v>
      </c>
      <c r="M6" s="43">
        <f t="shared" ref="M6:W6" si="1">SUM(L6-M5)</f>
        <v>21433210</v>
      </c>
      <c r="N6" s="43">
        <f t="shared" si="1"/>
        <v>21393479</v>
      </c>
      <c r="O6" s="43">
        <f t="shared" si="1"/>
        <v>21353748</v>
      </c>
      <c r="P6" s="43">
        <f t="shared" si="1"/>
        <v>21314017</v>
      </c>
      <c r="Q6" s="43">
        <f t="shared" si="1"/>
        <v>21274285</v>
      </c>
      <c r="R6" s="43">
        <f t="shared" si="1"/>
        <v>21234554</v>
      </c>
      <c r="S6" s="43">
        <f t="shared" si="1"/>
        <v>21194823</v>
      </c>
      <c r="T6" s="43">
        <f t="shared" si="1"/>
        <v>21155092</v>
      </c>
      <c r="U6" s="43">
        <f t="shared" si="1"/>
        <v>21115361</v>
      </c>
      <c r="V6" s="43">
        <f t="shared" si="1"/>
        <v>21075630</v>
      </c>
      <c r="W6" s="43">
        <f t="shared" si="1"/>
        <v>21035897</v>
      </c>
      <c r="X6" s="42"/>
      <c r="Y6" s="43">
        <f>SUM(W6-Y5)</f>
        <v>20996166</v>
      </c>
      <c r="Z6" s="43">
        <f t="shared" ref="Z6" si="2">SUM(Y6-Z5)</f>
        <v>20956435</v>
      </c>
      <c r="AA6" s="43">
        <f t="shared" ref="AA6" si="3">SUM(Z6-AA5)</f>
        <v>20916704</v>
      </c>
      <c r="AB6" s="43">
        <f t="shared" ref="AB6" si="4">SUM(AA6-AB5)</f>
        <v>20876973</v>
      </c>
      <c r="AC6" s="43">
        <f t="shared" ref="AC6" si="5">SUM(AB6-AC5)</f>
        <v>20837242</v>
      </c>
      <c r="AD6" s="43">
        <f t="shared" ref="AD6" si="6">SUM(AC6-AD5)</f>
        <v>20797510</v>
      </c>
      <c r="AE6" s="43">
        <f t="shared" ref="AE6" si="7">SUM(AD6-AE5)</f>
        <v>20757779</v>
      </c>
      <c r="AF6" s="43">
        <f t="shared" ref="AF6" si="8">SUM(AE6-AF5)</f>
        <v>20718048</v>
      </c>
      <c r="AG6" s="43">
        <f t="shared" ref="AG6" si="9">SUM(AF6-AG5)</f>
        <v>20678317</v>
      </c>
      <c r="AH6" s="43">
        <f t="shared" ref="AH6" si="10">SUM(AG6-AH5)</f>
        <v>20638586</v>
      </c>
      <c r="AI6" s="43">
        <f t="shared" ref="AI6" si="11">SUM(AH6-AI5)</f>
        <v>20598855</v>
      </c>
      <c r="AJ6" s="43">
        <f t="shared" ref="AJ6" si="12">SUM(AI6-AJ5)</f>
        <v>20559122</v>
      </c>
    </row>
    <row r="7" spans="1:36">
      <c r="A7" s="44" t="s">
        <v>16</v>
      </c>
      <c r="B7" s="40" t="s">
        <v>2</v>
      </c>
      <c r="C7" s="43">
        <v>30570</v>
      </c>
      <c r="D7" s="42"/>
      <c r="E7" s="42"/>
      <c r="F7" s="42"/>
      <c r="G7" s="43">
        <v>0</v>
      </c>
      <c r="H7" s="43">
        <v>30570</v>
      </c>
      <c r="I7" s="43">
        <v>30570</v>
      </c>
      <c r="J7" s="43">
        <v>30570</v>
      </c>
      <c r="K7" s="42"/>
      <c r="L7" s="43">
        <v>30570</v>
      </c>
      <c r="M7" s="43">
        <v>30570</v>
      </c>
      <c r="N7" s="43">
        <v>30570</v>
      </c>
      <c r="O7" s="43">
        <v>30570</v>
      </c>
      <c r="P7" s="43">
        <v>30570</v>
      </c>
      <c r="Q7" s="43">
        <v>30570</v>
      </c>
      <c r="R7" s="43">
        <v>30570</v>
      </c>
      <c r="S7" s="43">
        <v>30570</v>
      </c>
      <c r="T7" s="43">
        <v>30570</v>
      </c>
      <c r="U7" s="43">
        <v>30570</v>
      </c>
      <c r="V7" s="43">
        <v>30570</v>
      </c>
      <c r="W7" s="43">
        <v>30570</v>
      </c>
      <c r="X7" s="42"/>
      <c r="Y7" s="43">
        <v>21770</v>
      </c>
      <c r="Z7" s="43">
        <v>21770</v>
      </c>
      <c r="AA7" s="43">
        <v>21770</v>
      </c>
      <c r="AB7" s="43">
        <v>21770</v>
      </c>
      <c r="AC7" s="43">
        <v>21770</v>
      </c>
      <c r="AD7" s="43">
        <v>21770</v>
      </c>
      <c r="AE7" s="43">
        <v>21770</v>
      </c>
      <c r="AF7" s="43">
        <v>21770</v>
      </c>
      <c r="AG7" s="43">
        <v>21770</v>
      </c>
      <c r="AH7" s="43">
        <v>21770</v>
      </c>
      <c r="AI7" s="43">
        <v>21770</v>
      </c>
      <c r="AJ7" s="43">
        <v>21770</v>
      </c>
    </row>
    <row r="8" spans="1:36">
      <c r="A8" s="44" t="s">
        <v>7</v>
      </c>
      <c r="B8" s="40" t="s">
        <v>2</v>
      </c>
      <c r="C8" s="43"/>
      <c r="D8" s="42"/>
      <c r="E8" s="42"/>
      <c r="F8" s="42"/>
      <c r="G8" s="42">
        <v>0</v>
      </c>
      <c r="H8" s="42">
        <v>0</v>
      </c>
      <c r="I8" s="42">
        <v>0</v>
      </c>
      <c r="J8" s="42">
        <v>0</v>
      </c>
      <c r="K8" s="42"/>
      <c r="L8" s="43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89648</v>
      </c>
      <c r="V8" s="42">
        <v>0</v>
      </c>
      <c r="W8" s="42">
        <v>0</v>
      </c>
      <c r="X8" s="42"/>
      <c r="Y8" s="43">
        <v>0</v>
      </c>
      <c r="Z8" s="42">
        <v>0</v>
      </c>
      <c r="AA8" s="42">
        <v>0</v>
      </c>
      <c r="AB8" s="42">
        <v>0</v>
      </c>
      <c r="AC8" s="42">
        <v>0</v>
      </c>
      <c r="AD8" s="42">
        <v>0</v>
      </c>
      <c r="AE8" s="42">
        <v>0</v>
      </c>
      <c r="AF8" s="42">
        <v>0</v>
      </c>
      <c r="AG8" s="42">
        <v>0</v>
      </c>
      <c r="AH8" s="42">
        <v>0</v>
      </c>
      <c r="AI8" s="42">
        <v>0</v>
      </c>
      <c r="AJ8" s="42">
        <v>0</v>
      </c>
    </row>
    <row r="9" spans="1:36">
      <c r="A9" s="44" t="s">
        <v>8</v>
      </c>
      <c r="B9" s="40" t="s">
        <v>2</v>
      </c>
      <c r="C9" s="43">
        <v>721000</v>
      </c>
      <c r="D9" s="42">
        <v>0</v>
      </c>
      <c r="E9" s="42">
        <v>0</v>
      </c>
      <c r="F9" s="42">
        <v>0</v>
      </c>
      <c r="G9" s="43">
        <v>216000</v>
      </c>
      <c r="H9" s="43">
        <v>162800</v>
      </c>
      <c r="I9" s="43">
        <v>0</v>
      </c>
      <c r="J9" s="43">
        <v>0</v>
      </c>
      <c r="K9" s="42"/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/>
      <c r="Y9" s="42">
        <v>0</v>
      </c>
      <c r="Z9" s="42">
        <v>0</v>
      </c>
      <c r="AA9" s="42">
        <v>0</v>
      </c>
      <c r="AB9" s="42">
        <v>0</v>
      </c>
      <c r="AC9" s="42">
        <v>0</v>
      </c>
      <c r="AD9" s="42">
        <v>0</v>
      </c>
      <c r="AE9" s="42">
        <v>0</v>
      </c>
      <c r="AF9" s="42">
        <v>0</v>
      </c>
      <c r="AG9" s="42">
        <v>0</v>
      </c>
      <c r="AH9" s="42">
        <v>0</v>
      </c>
      <c r="AI9" s="42">
        <v>0</v>
      </c>
      <c r="AJ9" s="42">
        <v>0</v>
      </c>
    </row>
    <row r="10" spans="1:36">
      <c r="A10" s="44" t="s">
        <v>9</v>
      </c>
      <c r="B10" s="40" t="s">
        <v>2</v>
      </c>
      <c r="C10" s="45"/>
      <c r="D10" s="46"/>
      <c r="E10" s="46"/>
      <c r="F10" s="46"/>
      <c r="G10" s="45"/>
      <c r="H10" s="45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</row>
    <row r="11" spans="1:36">
      <c r="A11" s="44" t="s">
        <v>10</v>
      </c>
      <c r="B11" s="40" t="s">
        <v>2</v>
      </c>
      <c r="C11" s="47"/>
      <c r="D11" s="48"/>
      <c r="E11" s="48"/>
      <c r="F11" s="48"/>
      <c r="G11" s="47"/>
      <c r="H11" s="47"/>
      <c r="I11" s="47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</row>
    <row r="12" spans="1:36">
      <c r="A12" s="44" t="s">
        <v>11</v>
      </c>
      <c r="B12" s="40" t="s">
        <v>2</v>
      </c>
      <c r="C12" s="47"/>
      <c r="D12" s="48"/>
      <c r="E12" s="48"/>
      <c r="F12" s="48"/>
      <c r="G12" s="47"/>
      <c r="H12" s="47"/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</row>
    <row r="13" spans="1:36">
      <c r="A13" s="44" t="s">
        <v>12</v>
      </c>
      <c r="B13" s="40" t="s">
        <v>2</v>
      </c>
      <c r="C13" s="47"/>
      <c r="D13" s="49">
        <f>SUM(D4-D7-D8-D9)</f>
        <v>0</v>
      </c>
      <c r="E13" s="49">
        <f t="shared" ref="E13:J13" si="13">SUM(E4-E7-E8-E9)</f>
        <v>0</v>
      </c>
      <c r="F13" s="49">
        <f t="shared" si="13"/>
        <v>0</v>
      </c>
      <c r="G13" s="49">
        <f t="shared" si="13"/>
        <v>-216000</v>
      </c>
      <c r="H13" s="49">
        <f t="shared" si="13"/>
        <v>-193370</v>
      </c>
      <c r="I13" s="49">
        <f t="shared" si="13"/>
        <v>-30570</v>
      </c>
      <c r="J13" s="49">
        <f t="shared" si="13"/>
        <v>-30570</v>
      </c>
      <c r="K13" s="49"/>
      <c r="L13" s="49">
        <f>SUM(L4-L7-L8-L9)</f>
        <v>-30570</v>
      </c>
      <c r="M13" s="49">
        <f t="shared" ref="M13:W13" si="14">SUM(M4-M7-M8-M9)</f>
        <v>-30570</v>
      </c>
      <c r="N13" s="49">
        <f t="shared" si="14"/>
        <v>128430</v>
      </c>
      <c r="O13" s="49">
        <f t="shared" si="14"/>
        <v>128430</v>
      </c>
      <c r="P13" s="49">
        <f t="shared" si="14"/>
        <v>128430</v>
      </c>
      <c r="Q13" s="49">
        <f t="shared" si="14"/>
        <v>128430</v>
      </c>
      <c r="R13" s="49">
        <f t="shared" si="14"/>
        <v>128430</v>
      </c>
      <c r="S13" s="49">
        <f t="shared" si="14"/>
        <v>128430</v>
      </c>
      <c r="T13" s="49">
        <f t="shared" si="14"/>
        <v>128430</v>
      </c>
      <c r="U13" s="49">
        <f t="shared" si="14"/>
        <v>38782</v>
      </c>
      <c r="V13" s="49">
        <f t="shared" si="14"/>
        <v>128430</v>
      </c>
      <c r="W13" s="49">
        <f t="shared" si="14"/>
        <v>128430</v>
      </c>
      <c r="X13" s="49"/>
      <c r="Y13" s="49">
        <f>SUM(Y4-Y7-Y8-Y9)</f>
        <v>137730</v>
      </c>
      <c r="Z13" s="49">
        <f t="shared" ref="Z13:AJ13" si="15">SUM(Z4-Z7-Z8-Z9)</f>
        <v>137730</v>
      </c>
      <c r="AA13" s="49">
        <f t="shared" si="15"/>
        <v>137730</v>
      </c>
      <c r="AB13" s="49">
        <f t="shared" si="15"/>
        <v>137730</v>
      </c>
      <c r="AC13" s="49">
        <f t="shared" si="15"/>
        <v>137730</v>
      </c>
      <c r="AD13" s="49">
        <f t="shared" si="15"/>
        <v>137730</v>
      </c>
      <c r="AE13" s="49">
        <f t="shared" si="15"/>
        <v>137730</v>
      </c>
      <c r="AF13" s="49">
        <f t="shared" si="15"/>
        <v>-21770</v>
      </c>
      <c r="AG13" s="49">
        <f t="shared" si="15"/>
        <v>-21770</v>
      </c>
      <c r="AH13" s="49">
        <f t="shared" si="15"/>
        <v>-21770</v>
      </c>
      <c r="AI13" s="49">
        <f t="shared" si="15"/>
        <v>-21770</v>
      </c>
      <c r="AJ13" s="49">
        <f t="shared" si="15"/>
        <v>-21770</v>
      </c>
    </row>
    <row r="14" spans="1:36">
      <c r="A14" s="44" t="s">
        <v>13</v>
      </c>
      <c r="B14" s="40" t="s">
        <v>2</v>
      </c>
      <c r="C14" s="47"/>
      <c r="D14" s="48"/>
      <c r="E14" s="48"/>
      <c r="F14" s="48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</row>
    <row r="15" spans="1:36">
      <c r="A15" s="24" t="s">
        <v>103</v>
      </c>
      <c r="W15" s="89">
        <v>30570</v>
      </c>
    </row>
  </sheetData>
  <phoneticPr fontId="2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国内総計</vt:lpstr>
      <vt:lpstr>SEA A棟1508</vt:lpstr>
      <vt:lpstr>SEA E棟1302</vt:lpstr>
      <vt:lpstr>SUN A棟1106</vt:lpstr>
      <vt:lpstr>オリゾン1110</vt:lpstr>
      <vt:lpstr>亀戸Xゲート1213</vt:lpstr>
      <vt:lpstr>PC文京小石川807</vt:lpstr>
      <vt:lpstr>PC麻布十番404</vt:lpstr>
      <vt:lpstr>Gスイート南麻布1404</vt:lpstr>
      <vt:lpstr>PH南麻布501</vt:lpstr>
      <vt:lpstr>パークリュクス白金</vt:lpstr>
      <vt:lpstr>広尾ガーデンフォレストA棟509</vt:lpstr>
      <vt:lpstr>プラウド白金台601</vt:lpstr>
      <vt:lpstr>海老名Ⅱ723</vt:lpstr>
      <vt:lpstr>海老名Ⅱ817</vt:lpstr>
      <vt:lpstr>海老名Ⅱ1123</vt:lpstr>
      <vt:lpstr>海老名Ⅱ1217</vt:lpstr>
      <vt:lpstr>海老名Ⅱ1331</vt:lpstr>
      <vt:lpstr>海老名Ⅱ1408</vt:lpstr>
      <vt:lpstr>海老名Ⅱ1431</vt:lpstr>
      <vt:lpstr>海老名Ⅱ月支出詳細</vt:lpstr>
      <vt:lpstr>亀戸Xゲート719(社宅)</vt:lpstr>
      <vt:lpstr>亀戸Xブライト2318(社宅)</vt:lpstr>
      <vt:lpstr>海老名Ⅱ1223(社宅)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YUICHI KATAYORI</dc:creator>
  <cp:keywords/>
  <dc:description/>
  <cp:lastModifiedBy>Nehru Yuvashree</cp:lastModifiedBy>
  <cp:revision/>
  <dcterms:created xsi:type="dcterms:W3CDTF">2023-01-27T01:55:17Z</dcterms:created>
  <dcterms:modified xsi:type="dcterms:W3CDTF">2026-05-12T01:01:05Z</dcterms:modified>
  <cp:category/>
  <cp:contentStatus/>
</cp:coreProperties>
</file>